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总览表!$A$2:$AZ$1132</definedName>
    <definedName name="_xlnm.Print_Area" localSheetId="0">总览表!$A$1:$AZ$1949</definedName>
  </definedNames>
  <calcPr calcId="144525"/>
</workbook>
</file>

<file path=xl/sharedStrings.xml><?xml version="1.0" encoding="utf-8"?>
<sst xmlns="http://schemas.openxmlformats.org/spreadsheetml/2006/main" count="5626" uniqueCount="2266">
  <si>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</si>
  <si>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</si>
  <si>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</si>
  <si>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</si>
  <si>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</si>
  <si>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</si>
  <si>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</si>
  <si>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</si>
  <si>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</si>
  <si>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</si>
  <si>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</si>
  <si>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</si>
  <si>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</si>
  <si>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</si>
  <si>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</si>
  <si>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</si>
  <si>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</si>
  <si>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</si>
  <si>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</si>
  <si>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</si>
  <si>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</si>
  <si>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</si>
  <si>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</si>
  <si>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</si>
  <si>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</si>
  <si>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</si>
  <si>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</si>
  <si>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</si>
  <si>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</si>
  <si>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</si>
  <si>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</si>
  <si>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</si>
  <si>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</si>
  <si>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</si>
  <si>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</si>
  <si>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</si>
  <si>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</si>
  <si>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</si>
  <si>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</si>
  <si>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</si>
  <si>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</si>
  <si>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</si>
  <si>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</si>
  <si>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</si>
  <si>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</si>
  <si>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</si>
  <si>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</si>
  <si>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</si>
  <si>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</si>
  <si>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</si>
  <si>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</si>
  <si>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</si>
  <si>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</si>
  <si>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</si>
  <si>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</si>
  <si>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</si>
  <si>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</si>
  <si>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</si>
  <si>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</si>
  <si>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</si>
  <si>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</si>
  <si>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</si>
  <si>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</si>
  <si>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</si>
  <si>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</si>
  <si>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</si>
  <si>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</si>
  <si>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</si>
  <si>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</si>
  <si>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</si>
  <si>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</si>
  <si>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</si>
  <si>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</si>
  <si>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</si>
  <si>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</si>
  <si>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</si>
  <si>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</si>
  <si>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</si>
  <si>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</si>
  <si>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</si>
  <si>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</si>
  <si>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</si>
  <si>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</si>
  <si>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</si>
  <si>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</si>
  <si>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</si>
  <si>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</si>
  <si>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</si>
  <si>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</si>
  <si>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</si>
  <si>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</si>
  <si>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</si>
  <si>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</si>
  <si>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</si>
  <si>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</si>
  <si>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</si>
  <si>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</si>
  <si>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</si>
  <si>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</si>
  <si>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</si>
  <si>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</si>
  <si>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</si>
  <si>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</si>
  <si>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</si>
  <si>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</si>
  <si>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</si>
  <si>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</si>
  <si>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</si>
  <si>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</si>
  <si>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</si>
  <si>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</si>
  <si>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</si>
  <si>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</si>
  <si>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</si>
  <si>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</si>
  <si>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</si>
  <si>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</si>
  <si>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</si>
  <si>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</si>
  <si>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</si>
  <si>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</si>
  <si>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</si>
  <si>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</si>
  <si>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</si>
  <si>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</si>
  <si>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</si>
  <si>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</si>
  <si>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</si>
  <si>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</si>
  <si>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</si>
  <si>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</si>
  <si>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</si>
  <si>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</si>
  <si>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</si>
  <si>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</si>
  <si>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</si>
  <si>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</si>
  <si>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</si>
  <si>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</si>
  <si>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</si>
  <si>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</si>
  <si>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</si>
  <si>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</si>
  <si>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</si>
  <si>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</si>
  <si>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</si>
  <si>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</si>
  <si>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</si>
  <si>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</si>
  <si>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</si>
  <si>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</si>
  <si>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</si>
  <si>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</si>
  <si>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</si>
  <si>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</si>
  <si>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</si>
  <si>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</si>
  <si>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</si>
  <si>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</si>
  <si>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</si>
  <si>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</si>
  <si>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</si>
  <si>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</si>
  <si>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</si>
  <si>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</si>
  <si>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</si>
  <si>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</si>
  <si>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</si>
  <si>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</si>
  <si>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</si>
  <si>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</si>
  <si>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</si>
  <si>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</si>
  <si>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</si>
  <si>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</si>
  <si>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</si>
  <si>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</si>
  <si>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</si>
  <si>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</si>
  <si>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</si>
  <si>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</si>
  <si>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</si>
  <si>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</si>
  <si>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</si>
  <si>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</si>
  <si>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</si>
  <si>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</si>
  <si>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</si>
  <si>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</si>
  <si>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</si>
  <si>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</si>
  <si>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</si>
  <si>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</si>
  <si>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</si>
  <si>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</si>
  <si>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</si>
  <si>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</si>
  <si>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</si>
  <si>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</si>
  <si>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</si>
  <si>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</si>
  <si>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</si>
  <si>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</si>
  <si>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</si>
  <si>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</si>
  <si>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</si>
  <si>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</si>
  <si>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</si>
  <si>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</si>
  <si>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</si>
  <si>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</si>
  <si>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</si>
  <si>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</si>
  <si>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</si>
  <si>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</si>
  <si>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</si>
  <si>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</si>
  <si>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</si>
  <si>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</si>
  <si>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</si>
  <si>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</si>
  <si>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</si>
  <si>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</si>
  <si>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</si>
  <si>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</si>
  <si>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</si>
  <si>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</si>
  <si>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</si>
  <si>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</si>
  <si>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</si>
  <si>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</si>
  <si>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</si>
  <si>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</si>
  <si>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</si>
  <si>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</si>
  <si>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</si>
  <si>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</si>
  <si>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</si>
  <si>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</si>
  <si>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</si>
  <si>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</si>
  <si>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</si>
  <si>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</si>
  <si>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</si>
  <si>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</si>
  <si>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</si>
  <si>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</si>
  <si>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</si>
  <si>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</si>
  <si>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</si>
  <si>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</si>
  <si>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</si>
  <si>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</si>
  <si>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</si>
  <si>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</si>
  <si>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</si>
  <si>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</si>
  <si>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</si>
  <si>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</si>
  <si>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</si>
  <si>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</si>
  <si>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</si>
  <si>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</si>
  <si>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</si>
  <si>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</si>
  <si>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</si>
  <si>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</si>
  <si>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</si>
  <si>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</si>
  <si>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</si>
  <si>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</si>
  <si>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</si>
  <si>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</si>
  <si>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</si>
  <si>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</si>
  <si>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</si>
  <si>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</si>
  <si>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</si>
  <si>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</si>
  <si>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</si>
  <si>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</si>
  <si>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</si>
  <si>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</si>
  <si>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</si>
  <si>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</si>
  <si>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</si>
  <si>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</si>
  <si>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</si>
  <si>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</si>
  <si>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</si>
  <si>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</si>
  <si>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</si>
  <si>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</si>
  <si>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</si>
  <si>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</si>
  <si>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</si>
  <si>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</si>
  <si>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</si>
  <si>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</si>
  <si>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</si>
  <si>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</si>
  <si>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</si>
  <si>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</si>
  <si>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</si>
  <si>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</si>
  <si>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</si>
  <si>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</si>
  <si>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</si>
  <si>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</si>
  <si>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</si>
  <si>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</si>
  <si>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</si>
  <si>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</si>
  <si>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</si>
  <si>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</si>
  <si>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</si>
  <si>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</si>
  <si>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</si>
  <si>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</si>
  <si>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</si>
  <si>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</si>
  <si>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</si>
  <si>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</si>
  <si>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</si>
  <si>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</si>
  <si>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</si>
  <si>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</si>
  <si>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</si>
  <si>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</si>
  <si>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</si>
  <si>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</si>
  <si>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</si>
  <si>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</si>
  <si>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</si>
  <si>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</si>
  <si>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</si>
  <si>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</si>
  <si>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</si>
  <si>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</si>
  <si>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</si>
  <si>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</si>
  <si>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</si>
  <si>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</si>
  <si>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</si>
  <si>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</si>
  <si>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</si>
  <si>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</si>
  <si>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</si>
  <si>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</si>
  <si>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</si>
  <si>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</si>
  <si>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</si>
  <si>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</si>
  <si>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</si>
  <si>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</si>
  <si>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</si>
  <si>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</si>
  <si>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</si>
  <si>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</si>
  <si>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</si>
  <si>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</si>
  <si>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</si>
  <si>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</si>
  <si>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</si>
  <si>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</si>
  <si>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</si>
  <si>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</si>
  <si>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</si>
  <si>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</si>
  <si>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</si>
  <si>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</si>
  <si>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</si>
  <si>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</si>
  <si>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</si>
  <si>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</si>
  <si>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</si>
  <si>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</si>
  <si>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</si>
  <si>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</si>
  <si>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</si>
  <si>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</si>
  <si>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</si>
  <si>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</si>
  <si>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</si>
  <si>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</si>
  <si>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</si>
  <si>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</si>
  <si>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</si>
  <si>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</si>
  <si>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</si>
  <si>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</si>
  <si>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</si>
  <si>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</si>
  <si>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</si>
  <si>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</si>
  <si>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</si>
  <si>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</si>
  <si>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</si>
  <si>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</si>
  <si>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</si>
  <si>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</si>
  <si>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</si>
  <si>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</si>
  <si>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</si>
  <si>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</si>
  <si>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</si>
  <si>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</si>
  <si>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</si>
  <si>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</si>
  <si>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</si>
  <si>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</si>
  <si>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</si>
  <si>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</si>
  <si>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</si>
  <si>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</si>
  <si>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</si>
  <si>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</si>
  <si>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</si>
  <si>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</si>
  <si>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</si>
  <si>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</si>
  <si>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</si>
  <si>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</si>
  <si>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</si>
  <si>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</si>
  <si>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</si>
  <si>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</si>
  <si>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</si>
  <si>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</si>
  <si>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</si>
  <si>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</si>
  <si>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</si>
  <si>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</si>
  <si>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</si>
  <si>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</si>
  <si>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</si>
  <si>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</si>
  <si>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</si>
  <si>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</si>
  <si>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</si>
  <si>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</si>
  <si>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</si>
  <si>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</si>
  <si>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</si>
  <si>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</si>
  <si>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</si>
  <si>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</si>
  <si>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</si>
  <si>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</si>
  <si>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</si>
  <si>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</si>
  <si>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</si>
  <si>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</si>
  <si>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</si>
  <si>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</si>
  <si>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</si>
  <si>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</si>
  <si>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</si>
  <si>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</si>
  <si>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</si>
  <si>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</si>
  <si>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</si>
  <si>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</si>
  <si>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</si>
  <si>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</si>
  <si>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</si>
  <si>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</si>
  <si>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</si>
  <si>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</si>
  <si>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</si>
  <si>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</si>
  <si>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</si>
  <si>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</si>
  <si>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</si>
  <si>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</si>
  <si>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</si>
  <si>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</si>
  <si>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</si>
  <si>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</si>
  <si>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</si>
  <si>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</si>
  <si>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</si>
  <si>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</si>
  <si>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</si>
  <si>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</si>
  <si>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</si>
  <si>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</si>
  <si>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</si>
  <si>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</si>
  <si>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</si>
  <si>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</si>
  <si>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</si>
  <si>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</si>
  <si>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</si>
  <si>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</si>
  <si>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</si>
  <si>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</si>
  <si>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</si>
  <si>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</si>
  <si>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</si>
  <si>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</si>
  <si>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</si>
  <si>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</si>
  <si>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</si>
  <si>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</si>
  <si>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</si>
  <si>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</si>
  <si>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</si>
  <si>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</si>
  <si>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</si>
  <si>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</si>
  <si>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</si>
  <si>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</si>
  <si>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</si>
  <si>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</si>
  <si>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</si>
  <si>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</si>
  <si>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</si>
  <si>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</si>
  <si>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</si>
  <si>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</si>
  <si>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</si>
  <si>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</si>
  <si>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</si>
  <si>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</si>
  <si>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</si>
  <si>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</si>
  <si>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</si>
  <si>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</si>
  <si>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</si>
  <si>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</si>
  <si>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</si>
  <si>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</si>
  <si>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</si>
  <si>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</si>
  <si>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</si>
  <si>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</si>
  <si>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</si>
  <si>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</si>
  <si>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</si>
  <si>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</si>
  <si>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</si>
  <si>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</si>
  <si>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</si>
  <si>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</si>
  <si>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</si>
  <si>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</si>
  <si>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</si>
  <si>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</si>
  <si>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</si>
  <si>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</si>
  <si>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</si>
  <si>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</si>
  <si>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</si>
  <si>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</si>
  <si>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</si>
  <si>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</si>
  <si>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</si>
  <si>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</si>
  <si>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</si>
  <si>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</si>
  <si>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</si>
  <si>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</si>
  <si>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</si>
  <si>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</si>
  <si>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</si>
  <si>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</si>
  <si>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</si>
  <si>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</si>
  <si>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</si>
  <si>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</si>
  <si>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</si>
  <si>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</si>
  <si>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</si>
  <si>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</si>
  <si>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</si>
  <si>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</si>
  <si>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</si>
  <si>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</si>
  <si>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</si>
  <si>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</si>
  <si>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</si>
  <si>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</si>
  <si>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</si>
  <si>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</si>
  <si>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</si>
  <si>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</si>
  <si>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</si>
  <si>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</si>
  <si>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</si>
  <si>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</si>
  <si>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</si>
  <si>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</si>
  <si>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</si>
  <si>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</si>
  <si>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</si>
  <si>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</si>
  <si>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</si>
  <si>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</si>
  <si>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</si>
  <si>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</si>
  <si>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</si>
  <si>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</si>
  <si>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</si>
  <si>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</si>
  <si>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</si>
  <si>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</si>
  <si>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</si>
  <si>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</si>
  <si>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</si>
  <si>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</si>
  <si>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</si>
  <si>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</si>
  <si>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</si>
  <si>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</si>
  <si>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</si>
  <si>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</si>
  <si>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</si>
  <si>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</si>
  <si>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</si>
  <si>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</si>
  <si>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</si>
  <si>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</si>
  <si>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</si>
  <si>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</si>
  <si>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</si>
  <si>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</si>
  <si>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</si>
  <si>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</si>
  <si>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</si>
  <si>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</si>
  <si>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</si>
  <si>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</si>
  <si>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</si>
  <si>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</si>
  <si>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</si>
  <si>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</si>
  <si>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</si>
  <si>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</si>
  <si>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</si>
  <si>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</si>
  <si>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</si>
  <si>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</si>
  <si>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</si>
  <si>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</si>
  <si>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</si>
  <si>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</si>
  <si>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</si>
  <si>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</si>
  <si>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</si>
  <si>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</si>
  <si>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</si>
  <si>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</si>
  <si>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</si>
  <si>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</si>
  <si>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</si>
  <si>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</si>
  <si>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</si>
  <si>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</si>
  <si>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</si>
  <si>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</si>
  <si>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</si>
  <si>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</si>
  <si>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</si>
  <si>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</si>
  <si>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</si>
  <si>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</si>
  <si>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</si>
  <si>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</si>
  <si>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</si>
  <si>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</si>
  <si>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</si>
  <si>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</si>
  <si>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</si>
  <si>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</si>
  <si>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</si>
  <si>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</si>
  <si>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</si>
  <si>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</si>
  <si>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</si>
  <si>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</si>
  <si>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</si>
  <si>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</si>
  <si>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</si>
  <si>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</si>
  <si>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</si>
  <si>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</si>
  <si>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</si>
  <si>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</si>
  <si>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</si>
  <si>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</si>
  <si>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</si>
  <si>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</si>
  <si>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</si>
  <si>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</si>
  <si>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</si>
  <si>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</si>
  <si>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</si>
  <si>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</si>
  <si>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</si>
  <si>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</si>
  <si>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</si>
  <si>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</si>
  <si>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</si>
  <si>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</si>
  <si>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</si>
  <si>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</si>
  <si>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</si>
  <si>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</si>
  <si>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</si>
  <si>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</si>
  <si>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</si>
  <si>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</si>
  <si>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</si>
  <si>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</si>
  <si>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</si>
  <si>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</si>
  <si>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</si>
  <si>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</si>
  <si>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</si>
  <si>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</si>
  <si>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</si>
  <si>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</si>
  <si>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</si>
  <si>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</si>
  <si>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</si>
  <si>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</si>
  <si>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</si>
  <si>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</si>
  <si>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</si>
  <si>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</si>
  <si>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</si>
  <si>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</si>
  <si>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</si>
  <si>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</si>
  <si>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</si>
  <si>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</si>
  <si>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</si>
  <si>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</si>
  <si>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</si>
  <si>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</si>
  <si>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</si>
  <si>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</si>
  <si>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</si>
  <si>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</si>
  <si>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</si>
  <si>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</si>
  <si>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</si>
  <si>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</si>
  <si>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</si>
  <si>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</si>
  <si>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</si>
  <si>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</si>
  <si>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</si>
  <si>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</si>
  <si>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</si>
  <si>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</si>
  <si>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</si>
  <si>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</si>
  <si>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</si>
  <si>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</si>
  <si>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</si>
  <si>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</si>
  <si>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</si>
  <si>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</si>
  <si>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</si>
  <si>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</si>
  <si>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</si>
  <si>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</si>
  <si>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</si>
  <si>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</si>
  <si>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</si>
  <si>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</si>
  <si>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</si>
  <si>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</si>
  <si>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</si>
  <si>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</si>
  <si>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</si>
  <si>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</si>
  <si>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</si>
  <si>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</si>
  <si>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</si>
  <si>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</si>
  <si>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</si>
  <si>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</si>
  <si>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</si>
  <si>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</si>
  <si>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</si>
  <si>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</si>
  <si>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</si>
  <si>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</si>
  <si>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</si>
  <si>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</si>
  <si>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</si>
  <si>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</si>
  <si>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</si>
  <si>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</si>
  <si>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</si>
  <si>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</si>
  <si>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</si>
  <si>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</si>
  <si>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</si>
  <si>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</si>
  <si>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</si>
  <si>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</si>
  <si>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</si>
  <si>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</si>
  <si>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</si>
  <si>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</si>
  <si>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</si>
  <si>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</si>
  <si>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</si>
  <si>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</si>
  <si>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</si>
  <si>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</si>
  <si>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</si>
  <si>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</si>
  <si>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</si>
  <si>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</si>
  <si>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</si>
  <si>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</si>
  <si>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</si>
  <si>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</si>
  <si>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</si>
  <si>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</si>
  <si>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</si>
  <si>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</si>
  <si>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</si>
  <si>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</si>
  <si>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</si>
  <si>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</si>
  <si>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</si>
  <si>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</si>
  <si>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</si>
  <si>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</si>
  <si>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</si>
  <si>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</si>
  <si>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</si>
  <si>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</si>
  <si>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</si>
  <si>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</si>
  <si>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</si>
  <si>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</si>
  <si>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</si>
  <si>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</si>
  <si>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</si>
  <si>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</si>
  <si>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</si>
  <si>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</si>
  <si>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</si>
  <si>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</si>
  <si>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</si>
  <si>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</si>
  <si>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</si>
  <si>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</si>
  <si>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</si>
  <si>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</si>
  <si>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</si>
  <si>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</si>
  <si>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</si>
  <si>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</si>
  <si>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</si>
  <si>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</si>
  <si>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</si>
  <si>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</si>
  <si>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</si>
  <si>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</si>
  <si>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</si>
  <si>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</si>
  <si>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</si>
  <si>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</si>
  <si>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</si>
  <si>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</si>
  <si>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</si>
  <si>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</si>
  <si>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</si>
  <si>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</si>
  <si>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</si>
  <si>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</si>
  <si>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</si>
  <si>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</si>
  <si>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</si>
  <si>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</si>
  <si>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</si>
  <si>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</si>
  <si>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</si>
  <si>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</si>
  <si>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</si>
  <si>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</si>
  <si>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</si>
  <si>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</si>
  <si>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</si>
  <si>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</si>
  <si>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</si>
  <si>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</si>
  <si>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</si>
  <si>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</si>
  <si>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</si>
  <si>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</si>
  <si>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</si>
  <si>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</si>
  <si>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</si>
  <si>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</si>
  <si>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</si>
  <si>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</si>
  <si>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</si>
  <si>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</si>
  <si>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</si>
  <si>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</si>
  <si>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</si>
  <si>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</si>
  <si>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</si>
  <si>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</si>
  <si>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</si>
  <si>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</si>
  <si>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</si>
  <si>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</si>
  <si>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</si>
  <si>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</si>
  <si>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</si>
  <si>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</si>
  <si>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</si>
  <si>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</si>
  <si>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</si>
  <si>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</si>
  <si>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</si>
  <si>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</si>
  <si>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</si>
  <si>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</si>
  <si>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</si>
  <si>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</si>
  <si>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</si>
  <si>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</si>
  <si>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</si>
  <si>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</si>
  <si>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</si>
  <si>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</si>
  <si>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</si>
  <si>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</si>
  <si>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</si>
  <si>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</si>
  <si>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</si>
  <si>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</si>
  <si>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</si>
  <si>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</si>
  <si>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</si>
  <si>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</si>
  <si>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</si>
  <si>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</si>
  <si>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</si>
  <si>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</si>
  <si>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</si>
  <si>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</si>
  <si>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</si>
  <si>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</si>
  <si>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</si>
  <si>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</si>
  <si>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</si>
  <si>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</si>
  <si>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</si>
  <si>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</si>
  <si>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</si>
  <si>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</si>
  <si>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</si>
  <si>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</si>
  <si>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</si>
  <si>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</si>
  <si>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</si>
  <si>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</si>
  <si>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</si>
  <si>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</si>
  <si>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</si>
  <si>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</si>
  <si>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</si>
  <si>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</si>
  <si>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</si>
  <si>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</si>
  <si>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</si>
  <si>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</si>
  <si>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</si>
  <si>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</si>
  <si>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</si>
  <si>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</si>
  <si>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</si>
  <si>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</si>
  <si>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</si>
  <si>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</si>
  <si>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</si>
  <si>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</si>
  <si>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</si>
  <si>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</si>
  <si>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</si>
  <si>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</si>
  <si>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</si>
  <si>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</si>
  <si>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</si>
  <si>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</si>
  <si>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</si>
  <si>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</si>
  <si>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</si>
  <si>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</si>
  <si>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</si>
  <si>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</si>
  <si>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</si>
  <si>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</si>
  <si>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</si>
  <si>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</si>
  <si>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</si>
  <si>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</si>
  <si>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</si>
  <si>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</si>
  <si>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</si>
  <si>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</si>
  <si>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</si>
  <si>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</si>
  <si>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</si>
  <si>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</si>
  <si>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</si>
  <si>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</si>
  <si>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</si>
  <si>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</si>
  <si>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</si>
  <si>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</si>
  <si>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</si>
  <si>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</si>
  <si>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</si>
  <si>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</si>
  <si>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</si>
  <si>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</si>
  <si>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</si>
  <si>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</si>
  <si>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</si>
  <si>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</si>
  <si>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</si>
  <si>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</si>
  <si>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</si>
  <si>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</si>
  <si>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</si>
  <si>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</si>
  <si>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</si>
  <si>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</si>
  <si>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</si>
  <si>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</si>
  <si>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</si>
  <si>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</si>
  <si>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</si>
  <si>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</si>
  <si>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</si>
  <si>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</si>
  <si>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</si>
  <si>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</si>
  <si>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</si>
  <si>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</si>
  <si>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</si>
  <si>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</si>
  <si>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</si>
  <si>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</si>
  <si>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</si>
  <si>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</si>
  <si>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</si>
  <si>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</si>
  <si>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</si>
  <si>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</si>
  <si>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</si>
  <si>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</si>
  <si>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</si>
  <si>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</si>
  <si>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</si>
  <si>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</si>
  <si>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</si>
  <si>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</si>
  <si>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</si>
  <si>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</si>
  <si>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</si>
  <si>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</si>
  <si>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</si>
  <si>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</si>
  <si>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</si>
  <si>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</si>
  <si>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</si>
  <si>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</si>
  <si>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</si>
  <si>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</si>
  <si>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</si>
  <si>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</si>
  <si>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</si>
  <si>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</si>
  <si>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</si>
  <si>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</si>
  <si>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</si>
  <si>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</si>
  <si>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</si>
  <si>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</si>
  <si>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</si>
  <si>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</si>
  <si>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</si>
  <si>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</si>
  <si>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</si>
  <si>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</si>
  <si>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</si>
  <si>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</si>
  <si>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</si>
  <si>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</si>
  <si>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</si>
  <si>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</si>
  <si>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</si>
  <si>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</si>
  <si>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</si>
  <si>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</si>
  <si>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</si>
  <si>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</si>
  <si>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</si>
  <si>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</si>
  <si>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</si>
  <si>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</si>
  <si>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</si>
  <si>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</si>
  <si>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</si>
  <si>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</si>
  <si>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</si>
  <si>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</si>
  <si>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</si>
  <si>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</si>
  <si>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</si>
  <si>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</si>
  <si>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</si>
  <si>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</si>
  <si>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</si>
  <si>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</si>
  <si>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</si>
  <si>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</si>
  <si>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</si>
  <si>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</si>
  <si>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</si>
  <si>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</si>
  <si>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</si>
  <si>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</si>
  <si>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</si>
  <si>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</si>
  <si>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</si>
  <si>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</si>
  <si>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</si>
  <si>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</si>
  <si>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</si>
  <si>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</si>
  <si>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</si>
  <si>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</si>
  <si>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</si>
  <si>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</si>
  <si>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</si>
  <si>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</si>
  <si>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</si>
  <si>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</si>
  <si>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</si>
  <si>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</si>
  <si>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</si>
  <si>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</si>
  <si>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</si>
  <si>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</si>
  <si>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</si>
  <si>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</si>
  <si>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</si>
  <si>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</si>
  <si>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</si>
  <si>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</si>
  <si>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</si>
  <si>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</si>
  <si>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</si>
  <si>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</si>
  <si>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</si>
  <si>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</si>
  <si>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</si>
  <si>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</si>
  <si>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</si>
  <si>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</si>
  <si>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</si>
  <si>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</si>
  <si>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</si>
  <si>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</si>
  <si>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</si>
  <si>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</si>
  <si>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</si>
  <si>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</si>
  <si>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</si>
  <si>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</si>
  <si>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</si>
  <si>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</si>
  <si>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</si>
  <si>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</si>
  <si>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</si>
  <si>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</si>
  <si>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</si>
  <si>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</si>
  <si>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</si>
  <si>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</si>
  <si>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</si>
  <si>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</si>
  <si>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</si>
  <si>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</si>
  <si>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</si>
  <si>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</si>
  <si>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</si>
  <si>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</si>
  <si>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</si>
  <si>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</si>
  <si>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</si>
  <si>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</si>
  <si>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</si>
  <si>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</si>
  <si>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</si>
  <si>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</si>
  <si>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</si>
  <si>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</si>
  <si>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</si>
  <si>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</si>
  <si>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</si>
  <si>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</si>
  <si>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</si>
  <si>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</si>
  <si>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</si>
  <si>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</si>
  <si>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</si>
  <si>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</si>
  <si>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</si>
  <si>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</si>
  <si>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</si>
  <si>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</si>
  <si>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</si>
  <si>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</si>
  <si>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</si>
  <si>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</si>
  <si>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</si>
  <si>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</si>
  <si>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</si>
  <si>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</si>
  <si>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</si>
  <si>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</si>
  <si>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</si>
  <si>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</si>
  <si>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</si>
  <si>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</si>
  <si>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</si>
  <si>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</si>
  <si>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</si>
  <si>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</si>
  <si>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</si>
  <si>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</si>
  <si>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</si>
  <si>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</si>
  <si>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</si>
  <si>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</si>
  <si>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</si>
  <si>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</si>
  <si>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</si>
  <si>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</si>
  <si>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</si>
  <si>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</si>
  <si>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</si>
  <si>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</si>
  <si>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</si>
  <si>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</si>
  <si>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</si>
  <si>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</si>
  <si>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</si>
  <si>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</si>
  <si>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</si>
  <si>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</si>
  <si>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</si>
  <si>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</si>
  <si>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</si>
  <si>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</si>
  <si>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</si>
  <si>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</si>
  <si>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</si>
  <si>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</si>
  <si>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</si>
  <si>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</si>
  <si>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</si>
  <si>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</si>
  <si>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</si>
  <si>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</si>
  <si>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</si>
  <si>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</si>
  <si>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</si>
  <si>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</si>
  <si>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</si>
  <si>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</si>
  <si>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</si>
  <si>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</si>
  <si>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</si>
  <si>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</si>
  <si>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</si>
  <si>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</si>
  <si>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</si>
  <si>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</si>
  <si>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</si>
  <si>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</si>
  <si>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</si>
  <si>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</si>
  <si>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</si>
  <si>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</si>
  <si>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</si>
  <si>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</si>
  <si>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</si>
  <si>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</si>
  <si>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</si>
  <si>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</si>
  <si>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</si>
  <si>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</si>
  <si>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</si>
  <si>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</si>
  <si>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</si>
  <si>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</si>
  <si>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</si>
  <si>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</si>
  <si>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</si>
  <si>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</si>
  <si>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</si>
  <si>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</si>
  <si>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</si>
  <si>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</si>
  <si>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</si>
  <si>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</si>
  <si>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</si>
  <si>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</si>
  <si>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</si>
  <si>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</si>
  <si>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</si>
  <si>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</si>
  <si>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</si>
  <si>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</si>
  <si>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</si>
  <si>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</si>
  <si>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</si>
  <si>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</si>
  <si>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</si>
  <si>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</si>
  <si>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</si>
  <si>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</si>
  <si>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</si>
  <si>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</si>
  <si>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</si>
  <si>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</si>
  <si>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</si>
  <si>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</si>
  <si>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</si>
  <si>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</si>
  <si>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</si>
  <si>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</si>
  <si>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</si>
  <si>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</si>
  <si>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</si>
  <si>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</si>
  <si>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</si>
  <si>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</si>
  <si>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</si>
  <si>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</si>
  <si>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</si>
  <si>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</si>
  <si>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</si>
  <si>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</si>
  <si>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</si>
  <si>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</si>
  <si>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</si>
  <si>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</si>
  <si>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</si>
  <si>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</si>
  <si>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</si>
  <si>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</si>
  <si>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</si>
  <si>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</si>
  <si>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</si>
  <si>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</si>
  <si>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</si>
  <si>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</si>
  <si>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</si>
  <si>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</si>
  <si>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</si>
  <si>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</si>
  <si>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</si>
  <si>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</si>
  <si>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</si>
  <si>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</si>
  <si>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</si>
  <si>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</si>
  <si>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</si>
  <si>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</si>
  <si>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</si>
  <si>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</si>
  <si>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</si>
  <si>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</si>
  <si>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</si>
  <si>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</si>
  <si>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</si>
  <si>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</si>
  <si>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</si>
  <si>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</si>
  <si>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</si>
  <si>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</si>
  <si>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</si>
  <si>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</si>
  <si>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</si>
  <si>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</si>
  <si>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</si>
  <si>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</si>
  <si>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</si>
  <si>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</si>
  <si>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</si>
  <si>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</si>
  <si>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</si>
  <si>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</si>
  <si>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</si>
  <si>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</si>
  <si>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</si>
  <si>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</si>
  <si>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</si>
  <si>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</si>
  <si>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</si>
  <si>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</si>
  <si>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</si>
  <si>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</si>
  <si>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</si>
  <si>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</si>
  <si>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</si>
  <si>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</si>
  <si>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</si>
  <si>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</si>
  <si>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</si>
  <si>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</si>
  <si>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</si>
  <si>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</si>
  <si>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</si>
  <si>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</si>
  <si>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</si>
  <si>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</si>
  <si>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</si>
  <si>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</si>
  <si>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</si>
  <si>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</si>
  <si>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</si>
  <si>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</si>
  <si>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</si>
  <si>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</si>
  <si>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</si>
  <si>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</si>
  <si>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</si>
  <si>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</si>
  <si>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</si>
  <si>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</si>
  <si>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</si>
  <si>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</si>
  <si>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</si>
  <si>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</si>
  <si>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</si>
  <si>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</si>
  <si>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</si>
  <si>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</si>
  <si>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</si>
  <si>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</si>
  <si>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</si>
  <si>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</si>
  <si>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</si>
  <si>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</si>
  <si>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</si>
  <si>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</si>
  <si>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</si>
  <si>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</si>
  <si>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</si>
  <si>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</si>
  <si>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</si>
  <si>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</si>
  <si>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</si>
  <si>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</si>
  <si>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</si>
  <si>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</si>
  <si>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</si>
  <si>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</si>
  <si>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</si>
  <si>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</si>
  <si>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</si>
  <si>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</si>
  <si>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</si>
  <si>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</si>
  <si>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</si>
  <si>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</si>
  <si>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</si>
  <si>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</si>
  <si>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</si>
  <si>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</si>
  <si>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</si>
  <si>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</si>
  <si>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</si>
  <si>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</si>
  <si>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</si>
  <si>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</si>
  <si>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</si>
  <si>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</si>
  <si>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</si>
  <si>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</si>
  <si>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</si>
  <si>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</si>
  <si>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</si>
  <si>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</si>
  <si>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</si>
  <si>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</si>
  <si>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</si>
  <si>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</si>
  <si>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</si>
  <si>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</si>
  <si>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</si>
  <si>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</si>
  <si>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</si>
  <si>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</si>
  <si>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</si>
  <si>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</si>
  <si>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</si>
  <si>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</si>
  <si>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</si>
  <si>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</si>
  <si>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</si>
  <si>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</si>
  <si>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</si>
  <si>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</si>
  <si>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</si>
  <si>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</si>
  <si>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</si>
  <si>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</si>
  <si>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</si>
  <si>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</si>
  <si>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</si>
  <si>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</si>
  <si>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</si>
  <si>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</si>
  <si>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</si>
  <si>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</si>
  <si>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</si>
  <si>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</si>
  <si>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</si>
  <si>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</si>
  <si>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</si>
  <si>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</si>
  <si>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</si>
  <si>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</si>
  <si>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</si>
  <si>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</si>
  <si>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</si>
  <si>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</si>
  <si>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</si>
  <si>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</si>
  <si>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</si>
  <si>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</si>
  <si>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</si>
  <si>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</si>
  <si>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</si>
  <si>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</si>
  <si>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</si>
  <si>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</si>
  <si>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</si>
  <si>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</si>
  <si>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</si>
  <si>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</si>
  <si>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</si>
  <si>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</si>
  <si>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</si>
  <si>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</si>
  <si>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</si>
  <si>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</si>
  <si>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</si>
  <si>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</si>
  <si>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</si>
  <si>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</si>
  <si>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</si>
  <si>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</si>
  <si>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</si>
  <si>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</si>
  <si>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</si>
  <si>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</si>
  <si>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</si>
  <si>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</si>
  <si>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</si>
  <si>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</si>
  <si>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</si>
  <si>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</si>
  <si>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</si>
  <si>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</si>
  <si>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</si>
  <si>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</si>
  <si>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</si>
  <si>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</si>
  <si>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</si>
  <si>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</si>
  <si>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</si>
  <si>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</si>
  <si>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</si>
  <si>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</si>
  <si>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</si>
  <si>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</si>
  <si>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</si>
  <si>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</si>
  <si>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</si>
  <si>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</si>
  <si>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</si>
  <si>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</si>
  <si>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</si>
  <si>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</si>
  <si>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</si>
  <si>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</si>
  <si>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</si>
  <si>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</si>
  <si>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</si>
  <si>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</si>
  <si>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</si>
  <si>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</si>
  <si>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</si>
  <si>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</si>
  <si>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</si>
  <si>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</si>
  <si>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</si>
  <si>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</si>
  <si>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</si>
  <si>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</si>
  <si>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</si>
  <si>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</si>
  <si>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</si>
  <si>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</si>
  <si>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</si>
  <si>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</si>
  <si>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</si>
  <si>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</si>
  <si>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</si>
  <si>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</si>
  <si>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</si>
  <si>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</si>
  <si>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</si>
  <si>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</si>
  <si>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</si>
  <si>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</si>
  <si>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</si>
  <si>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</si>
  <si>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</si>
  <si>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</si>
  <si>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</si>
  <si>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</si>
  <si>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</si>
  <si>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</si>
  <si>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</si>
  <si>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</si>
  <si>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</si>
  <si>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</si>
  <si>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</si>
  <si>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</si>
  <si>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</si>
  <si>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</si>
  <si>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</si>
  <si>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</si>
  <si>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</si>
  <si>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</si>
  <si>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</si>
  <si>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</si>
  <si>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</si>
  <si>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</si>
  <si>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</si>
  <si>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</si>
  <si>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</si>
  <si>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</si>
  <si>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</si>
  <si>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</si>
  <si>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</si>
  <si>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</si>
  <si>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</si>
  <si>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</si>
  <si>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</si>
  <si>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</si>
  <si>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</si>
  <si>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</si>
  <si>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</si>
  <si>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</si>
  <si>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</si>
  <si>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</si>
  <si>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</si>
  <si>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</si>
  <si>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</si>
  <si>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</si>
  <si>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</si>
  <si>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</si>
  <si>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</si>
  <si>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</si>
  <si>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</si>
  <si>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</si>
  <si>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</si>
  <si>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</si>
  <si>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</si>
  <si>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</si>
  <si>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</si>
  <si>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</si>
  <si>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</si>
  <si>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</si>
  <si>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</si>
  <si>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</si>
  <si>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</si>
  <si>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</si>
  <si>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</si>
  <si>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</si>
  <si>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</si>
  <si>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</si>
  <si>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</si>
  <si>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</si>
  <si>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</si>
  <si>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</si>
  <si>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</si>
  <si>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</si>
  <si>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</si>
  <si>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</si>
  <si>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</si>
  <si>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</si>
  <si>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</si>
  <si>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</si>
  <si>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</si>
  <si>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</si>
  <si>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</si>
  <si>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</si>
  <si>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</si>
  <si>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</si>
  <si>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</si>
  <si>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</si>
  <si>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</si>
  <si>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</si>
  <si>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</si>
  <si>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</si>
  <si>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</si>
  <si>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</si>
  <si>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</si>
  <si>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</si>
  <si>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</si>
  <si>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</si>
  <si>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</si>
  <si>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</si>
  <si>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</si>
  <si>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</si>
  <si>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</si>
  <si>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</si>
  <si>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</si>
  <si>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</si>
  <si>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</si>
  <si>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</si>
  <si>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</si>
  <si>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</si>
  <si>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</si>
  <si>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</si>
  <si>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</si>
  <si>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</si>
  <si>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</si>
  <si>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</si>
  <si>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</si>
  <si>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</si>
  <si>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</si>
  <si>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</si>
  <si>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</si>
  <si>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</si>
  <si>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</si>
  <si>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</si>
  <si>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</si>
  <si>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</si>
  <si>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</si>
  <si>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</si>
  <si>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</si>
  <si>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</si>
  <si>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</si>
  <si>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</si>
  <si>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</si>
  <si>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</si>
  <si>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</si>
  <si>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</si>
  <si>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</si>
  <si>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</si>
  <si>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</si>
  <si>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</si>
  <si>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</si>
  <si>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</si>
  <si>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</si>
  <si>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</si>
  <si>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</si>
  <si>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</si>
  <si>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</si>
  <si>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</si>
  <si>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</si>
  <si>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</si>
  <si>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</si>
  <si>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</si>
  <si>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</si>
  <si>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</si>
  <si>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</si>
  <si>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</si>
  <si>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</si>
  <si>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</si>
  <si>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</si>
  <si>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</si>
  <si>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</si>
  <si>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</si>
  <si>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</si>
  <si>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</si>
  <si>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</si>
  <si>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</si>
  <si>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</si>
  <si>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</si>
  <si>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</si>
  <si>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</si>
  <si>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</si>
  <si>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</si>
  <si>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</si>
  <si>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</si>
  <si>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</si>
  <si>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</si>
  <si>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</si>
  <si>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</si>
  <si>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</si>
  <si>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</si>
  <si>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</si>
  <si>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</si>
  <si>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</si>
  <si>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</si>
  <si>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</si>
  <si>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</si>
  <si>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</si>
  <si>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</si>
  <si>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</si>
  <si>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</si>
  <si>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</si>
  <si>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</si>
  <si>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</si>
  <si>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</si>
  <si>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</si>
  <si>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</si>
  <si>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</si>
  <si>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</si>
  <si>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</si>
  <si>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</si>
  <si>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</si>
  <si>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</si>
  <si>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</si>
  <si>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</si>
  <si>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</si>
  <si>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</si>
  <si>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</si>
  <si>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</si>
  <si>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</si>
  <si>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</si>
  <si>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</si>
  <si>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</si>
  <si>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</si>
  <si>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</si>
  <si>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</si>
  <si>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</si>
  <si>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</si>
  <si>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</si>
  <si>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</si>
  <si>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</si>
  <si>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</si>
  <si>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</si>
  <si>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</si>
  <si>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</si>
  <si>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</si>
  <si>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</si>
  <si>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</si>
  <si>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</si>
  <si>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</si>
  <si>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</si>
  <si>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</si>
  <si>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</si>
  <si>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</si>
  <si>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</si>
  <si>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</si>
  <si>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</si>
  <si>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</si>
  <si>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</si>
  <si>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</si>
  <si>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</si>
  <si>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</si>
  <si>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</si>
  <si>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</si>
  <si>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</si>
  <si>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</si>
  <si>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</si>
  <si>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</si>
  <si>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</si>
  <si>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</si>
  <si>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</si>
  <si>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</si>
  <si>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</si>
  <si>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</si>
  <si>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</si>
  <si>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</si>
  <si>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</si>
  <si>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</si>
  <si>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</si>
  <si>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</si>
  <si>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</si>
  <si>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</si>
  <si>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</si>
  <si>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</si>
  <si>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</si>
  <si>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</si>
  <si>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</si>
  <si>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</si>
  <si>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</si>
  <si>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</si>
  <si>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</si>
  <si>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</si>
  <si>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</si>
  <si>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</si>
  <si>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</si>
  <si>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</si>
  <si>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</si>
  <si>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</si>
  <si>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</si>
  <si>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</si>
  <si>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</si>
  <si>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</si>
  <si>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</si>
  <si>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</si>
  <si>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</si>
  <si>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</si>
  <si>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</si>
  <si>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</si>
  <si>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</si>
  <si>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</si>
  <si>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</si>
  <si>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</si>
  <si>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</si>
  <si>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</si>
  <si>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</si>
  <si>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</si>
  <si>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</si>
  <si>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</si>
  <si>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</si>
  <si>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</si>
  <si>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</si>
  <si>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</si>
  <si>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</si>
  <si>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</si>
  <si>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</si>
  <si>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</si>
  <si>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</si>
  <si>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</si>
  <si>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</si>
  <si>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</si>
  <si>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</si>
  <si>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</si>
  <si>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</si>
  <si>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</si>
  <si>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</si>
  <si>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</si>
  <si>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</si>
  <si>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</si>
  <si>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</si>
  <si>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</si>
  <si>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</si>
  <si>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</si>
  <si>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</si>
  <si>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</si>
  <si>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</si>
  <si>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</si>
  <si>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</si>
  <si>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</si>
  <si>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</si>
  <si>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</si>
  <si>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</si>
  <si>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</si>
  <si>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</si>
  <si>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</si>
  <si>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</si>
  <si>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</si>
  <si>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</si>
  <si>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</si>
  <si>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</si>
  <si>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</si>
  <si>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</si>
  <si>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</si>
  <si>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</si>
  <si>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</si>
  <si>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</si>
  <si>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</si>
  <si>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</si>
  <si>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</si>
  <si>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</si>
  <si>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</si>
  <si>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</si>
  <si>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</si>
  <si>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</si>
  <si>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</si>
  <si>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</si>
  <si>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</si>
  <si>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</si>
  <si>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</si>
  <si>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</si>
  <si>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</si>
  <si>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</si>
  <si>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</si>
  <si>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</si>
  <si>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</si>
  <si>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</si>
  <si>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</si>
  <si>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</si>
  <si>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</si>
  <si>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</si>
  <si>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</si>
  <si>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</si>
  <si>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</si>
  <si>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</si>
  <si>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</si>
  <si>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</si>
  <si>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</si>
  <si>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</si>
  <si>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</si>
  <si>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</si>
  <si>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</si>
  <si>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</si>
  <si>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</si>
  <si>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</si>
  <si>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</si>
  <si>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</si>
  <si>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</si>
  <si>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</si>
  <si>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</si>
  <si>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</si>
  <si>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</si>
  <si>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</si>
  <si>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</si>
  <si>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</si>
  <si>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</si>
  <si>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</si>
  <si>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</si>
  <si>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</si>
  <si>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</si>
  <si>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</si>
  <si>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</si>
  <si>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</si>
  <si>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</si>
  <si>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</si>
  <si>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</si>
  <si>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</si>
  <si>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</si>
  <si>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</si>
  <si>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</si>
  <si>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</si>
  <si>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</si>
  <si>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</si>
  <si>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</si>
  <si>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</si>
  <si>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</si>
  <si>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</si>
  <si>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</si>
  <si>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</si>
  <si>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</si>
  <si>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</si>
  <si>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</si>
  <si>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</si>
  <si>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</si>
  <si>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</si>
  <si>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</si>
  <si>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</si>
  <si>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</si>
  <si>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</si>
  <si>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</si>
  <si>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</si>
  <si>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</si>
  <si>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</si>
  <si>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</si>
  <si>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</si>
  <si>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</si>
  <si>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</si>
  <si>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</si>
  <si>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</si>
  <si>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</si>
  <si>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</si>
  <si>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</si>
  <si>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</si>
  <si>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</si>
  <si>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</si>
  <si>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</si>
  <si>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</si>
  <si>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</si>
  <si>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</si>
  <si>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</si>
  <si>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</si>
  <si>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</si>
  <si>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</si>
  <si>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</si>
  <si>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</si>
  <si>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</si>
  <si>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</si>
  <si>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</si>
  <si>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</si>
  <si>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</si>
  <si>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</si>
  <si>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</si>
  <si>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</si>
  <si>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</si>
  <si>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</si>
  <si>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</si>
  <si>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</si>
  <si>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</si>
  <si>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</si>
  <si>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</si>
  <si>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</si>
  <si>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</si>
  <si>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</si>
  <si>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</si>
  <si>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</si>
  <si>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</si>
  <si>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</si>
  <si>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</si>
  <si>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</si>
  <si>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</si>
  <si>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</si>
  <si>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</si>
  <si>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</si>
  <si>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</si>
  <si>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</si>
  <si>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</si>
  <si>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</si>
  <si>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</si>
  <si>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</si>
  <si>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</si>
  <si>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</si>
  <si>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</si>
  <si>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</si>
  <si>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</si>
  <si>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</si>
  <si>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</si>
  <si>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</si>
  <si>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</si>
  <si>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</si>
  <si>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</si>
  <si>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</si>
  <si>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</si>
  <si>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</si>
  <si>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</si>
  <si>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</si>
  <si>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</si>
  <si>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</si>
  <si>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</si>
  <si>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</si>
  <si>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</si>
  <si>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</si>
  <si>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</si>
  <si>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</si>
  <si>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</si>
  <si>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</si>
  <si>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</si>
  <si>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</si>
  <si>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</si>
  <si>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</si>
  <si>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</si>
  <si>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</si>
  <si>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</si>
  <si>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</si>
  <si>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</si>
  <si>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</si>
  <si>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</si>
  <si>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</si>
  <si>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</si>
  <si>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</si>
  <si>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</si>
  <si>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</si>
  <si>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</si>
  <si>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</si>
  <si>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</si>
  <si>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</si>
  <si>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</si>
  <si>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</si>
  <si>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</si>
  <si>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</si>
  <si>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</si>
  <si>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</si>
  <si>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</si>
  <si>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</si>
  <si>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</si>
  <si>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</si>
  <si>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</si>
  <si>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</si>
  <si>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</si>
  <si>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</si>
  <si>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</si>
  <si>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</si>
  <si>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</si>
  <si>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灰色扁平线</t>
  </si>
  <si>
    <t>101240200071A</t>
  </si>
  <si>
    <t>101240290011A</t>
  </si>
  <si>
    <t>诺利</t>
  </si>
  <si>
    <t>404144010011A</t>
  </si>
  <si>
    <t>螺丝</t>
  </si>
  <si>
    <t>501250000031A</t>
  </si>
  <si>
    <t>灰色胶料</t>
  </si>
  <si>
    <t>5011304A0011B</t>
  </si>
  <si>
    <t>贝吉色PVC</t>
  </si>
  <si>
    <t>805008010011A</t>
  </si>
  <si>
    <t>0.8MM锡丝</t>
  </si>
  <si>
    <t>805010010011A</t>
  </si>
  <si>
    <t>1.0MM锡丝</t>
  </si>
  <si>
    <t>805100000011A</t>
  </si>
  <si>
    <t>锡条</t>
  </si>
  <si>
    <t>805005010011A</t>
  </si>
  <si>
    <t>0.5MM锡丝</t>
  </si>
  <si>
    <t>308170190021A</t>
  </si>
  <si>
    <t>801307010011A</t>
  </si>
  <si>
    <t>801A15010021A</t>
  </si>
  <si>
    <t>717A25580061R</t>
  </si>
  <si>
    <t>717701280361R</t>
  </si>
  <si>
    <t>717701280491R</t>
  </si>
  <si>
    <t xml:space="preserve">717751280011R </t>
  </si>
  <si>
    <t>223020000461A</t>
  </si>
  <si>
    <t>223020190011A</t>
  </si>
  <si>
    <t>隆信达</t>
  </si>
  <si>
    <t>UA9CSWH00807A</t>
  </si>
  <si>
    <t>电子线+保险丝</t>
  </si>
  <si>
    <t>UA9CSWH00821A</t>
  </si>
  <si>
    <t>101140200041A</t>
  </si>
  <si>
    <t>223020001141A</t>
  </si>
  <si>
    <t>221072150161A</t>
  </si>
  <si>
    <t>220102010031A</t>
  </si>
  <si>
    <t>101240500041A</t>
  </si>
  <si>
    <t>601T75050011A</t>
  </si>
  <si>
    <t>304090000021A</t>
  </si>
  <si>
    <t>盲堵</t>
  </si>
  <si>
    <t>223130040031A</t>
  </si>
  <si>
    <t>密封塞</t>
  </si>
  <si>
    <t>223150020011A</t>
  </si>
  <si>
    <t>224042100011A</t>
  </si>
  <si>
    <t>万邦</t>
  </si>
  <si>
    <t>301040090071A</t>
  </si>
  <si>
    <t>面板</t>
  </si>
  <si>
    <t>1042002E0081A</t>
  </si>
  <si>
    <t>UL1007 #20灰注黑电子线</t>
  </si>
  <si>
    <t>1042002E0111A</t>
  </si>
  <si>
    <t>UL1007 #20紫注黑电子线</t>
  </si>
  <si>
    <t>1042002E0041A</t>
  </si>
  <si>
    <t>UL1007 #20绿注黑电子线</t>
  </si>
  <si>
    <t>104200250011A</t>
  </si>
  <si>
    <t>UL1007 #20绿色电子线</t>
  </si>
  <si>
    <t>104200280011A</t>
  </si>
  <si>
    <t>UL1007 #20白注黑电子线</t>
  </si>
  <si>
    <t>1042002E0021A</t>
  </si>
  <si>
    <t>UL1007 #20灰色电子线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</si>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</sst>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0_ "/>
    <numFmt numFmtId="177" formatCode="yyyy/m/d;@"/>
  </numFmts>
  <fonts count="69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47" fillId="0" borderId="0" applyFont="0" applyFill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5" fillId="22" borderId="24" applyNumberFormat="0" applyAlignment="0" applyProtection="0">
      <alignment vertical="center"/>
    </xf>
    <xf numFmtId="44" fontId="47" fillId="0" borderId="0" applyFont="0" applyFill="0" applyBorder="0" applyAlignment="0" applyProtection="0">
      <alignment vertical="center"/>
    </xf>
    <xf numFmtId="41" fontId="47" fillId="0" borderId="0" applyFont="0" applyFill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43" fontId="47" fillId="0" borderId="0" applyFont="0" applyFill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top"/>
      <protection locked="0"/>
    </xf>
    <xf numFmtId="9" fontId="47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7" fillId="8" borderId="23" applyNumberFormat="0" applyFont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4" fillId="0" borderId="26" applyNumberFormat="0" applyFill="0" applyAlignment="0" applyProtection="0">
      <alignment vertical="center"/>
    </xf>
    <xf numFmtId="0" fontId="63" fillId="0" borderId="26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51" fillId="0" borderId="25" applyNumberFormat="0" applyFill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67" fillId="11" borderId="30" applyNumberFormat="0" applyAlignment="0" applyProtection="0">
      <alignment vertical="center"/>
    </xf>
    <xf numFmtId="0" fontId="50" fillId="11" borderId="24" applyNumberFormat="0" applyAlignment="0" applyProtection="0">
      <alignment vertical="center"/>
    </xf>
    <xf numFmtId="0" fontId="57" fillId="25" borderId="27" applyNumberFormat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65" fillId="0" borderId="29" applyNumberFormat="0" applyFill="0" applyAlignment="0" applyProtection="0">
      <alignment vertical="center"/>
    </xf>
    <xf numFmtId="0" fontId="59" fillId="0" borderId="28" applyNumberFormat="0" applyFill="0" applyAlignment="0" applyProtection="0">
      <alignment vertical="center"/>
    </xf>
    <xf numFmtId="0" fontId="62" fillId="33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56" fillId="0" borderId="0"/>
  </cellStyleXfs>
  <cellXfs count="289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7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7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7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6" fillId="5" borderId="5" xfId="0" applyFont="1" applyFill="1" applyBorder="1" applyAlignment="1">
      <alignment horizontal="center" vertical="center"/>
    </xf>
    <xf numFmtId="176" fontId="46" fillId="0" borderId="5" xfId="0" applyNumberFormat="1" applyFont="1" applyFill="1" applyBorder="1" applyAlignment="1">
      <alignment horizontal="center" vertical="center"/>
    </xf>
    <xf numFmtId="0" fontId="46" fillId="0" borderId="5" xfId="0" applyFont="1" applyFill="1" applyBorder="1" applyAlignment="1">
      <alignment horizontal="center" vertical="center"/>
    </xf>
    <xf numFmtId="176" fontId="46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14" fontId="35" fillId="2" borderId="11" xfId="0" applyNumberFormat="1" applyFont="1" applyFill="1" applyBorder="1" applyAlignment="1">
      <alignment horizontal="center" vertical="center"/>
    </xf>
    <xf numFmtId="177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7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9"/>
  <sheetViews>
    <sheetView tabSelected="1" view="pageBreakPreview" zoomScale="115" zoomScaleNormal="100" zoomScaleSheetLayoutView="115" workbookViewId="0">
      <pane ySplit="2" topLeftCell="A1000" activePane="bottomLeft" state="frozen"/>
      <selection/>
      <selection pane="bottomLeft" activeCell="B1017" sqref="B1017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 t="shared" ref="L3:L66" si="0">EDATE(I3,J3)</f>
        <v>46115</v>
      </c>
      <c r="M3" s="121">
        <f ca="1" t="shared" ref="M3:M66" si="1">L3-TODAY()</f>
        <v>12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-46103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-46103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-46103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si="0"/>
        <v>46115</v>
      </c>
      <c r="M4" s="121">
        <f ca="1" t="shared" si="1"/>
        <v>12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-46103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-46103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-46103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0"/>
        <v>46115</v>
      </c>
      <c r="M5" s="121">
        <f ca="1" t="shared" si="1"/>
        <v>12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0"/>
        <v>46115</v>
      </c>
      <c r="M6" s="121">
        <f ca="1" t="shared" si="1"/>
        <v>12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0"/>
        <v>46115</v>
      </c>
      <c r="M7" s="121">
        <f ca="1" t="shared" si="1"/>
        <v>12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0"/>
        <v>46115</v>
      </c>
      <c r="M8" s="121">
        <f ca="1" t="shared" si="1"/>
        <v>12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0"/>
        <v>46115</v>
      </c>
      <c r="M9" s="121">
        <f ca="1" t="shared" si="1"/>
        <v>12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0"/>
        <v>46115</v>
      </c>
      <c r="M10" s="121">
        <f ca="1" t="shared" si="1"/>
        <v>12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0"/>
        <v>46115</v>
      </c>
      <c r="M11" s="121">
        <f ca="1" t="shared" si="1"/>
        <v>12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0"/>
        <v>46115</v>
      </c>
      <c r="M12" s="121">
        <f ca="1" t="shared" si="1"/>
        <v>12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si="0"/>
        <v>46116</v>
      </c>
      <c r="M13" s="121">
        <f ca="1" t="shared" si="1"/>
        <v>13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0"/>
        <v>46116</v>
      </c>
      <c r="M14" s="121">
        <f ca="1" t="shared" si="1"/>
        <v>13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0"/>
        <v>46116</v>
      </c>
      <c r="M15" s="121">
        <f ca="1" t="shared" si="1"/>
        <v>13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0"/>
        <v>46116</v>
      </c>
      <c r="M16" s="121">
        <f ca="1" t="shared" si="1"/>
        <v>13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0"/>
        <v>46116</v>
      </c>
      <c r="M17" s="121">
        <f ca="1" t="shared" si="1"/>
        <v>13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0"/>
        <v>46116</v>
      </c>
      <c r="M18" s="121">
        <f ca="1" t="shared" si="1"/>
        <v>13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0"/>
        <v>46116</v>
      </c>
      <c r="M19" s="121">
        <f ca="1" t="shared" si="1"/>
        <v>13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0"/>
        <v>46116</v>
      </c>
      <c r="M20" s="121">
        <f ca="1" t="shared" si="1"/>
        <v>13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0"/>
        <v>46116</v>
      </c>
      <c r="M21" s="121">
        <f ca="1" t="shared" si="1"/>
        <v>13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0"/>
        <v>46116</v>
      </c>
      <c r="M22" s="121">
        <f ca="1" t="shared" si="1"/>
        <v>13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0"/>
        <v>46116</v>
      </c>
      <c r="M23" s="121">
        <f ca="1" t="shared" si="1"/>
        <v>13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0"/>
        <v>46116</v>
      </c>
      <c r="M24" s="121">
        <f ca="1" t="shared" si="1"/>
        <v>13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0"/>
        <v>46116</v>
      </c>
      <c r="M25" s="121">
        <f ca="1" t="shared" si="1"/>
        <v>13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0"/>
        <v>46116</v>
      </c>
      <c r="M26" s="121">
        <f ca="1" t="shared" si="1"/>
        <v>13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0"/>
        <v>46116</v>
      </c>
      <c r="M27" s="121">
        <f ca="1" t="shared" si="1"/>
        <v>13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0"/>
        <v>46116</v>
      </c>
      <c r="M28" s="121">
        <f ca="1" t="shared" si="1"/>
        <v>13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0"/>
        <v>46116</v>
      </c>
      <c r="M29" s="121">
        <f ca="1" t="shared" si="1"/>
        <v>13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0"/>
        <v>46116</v>
      </c>
      <c r="M30" s="121">
        <f ca="1" t="shared" si="1"/>
        <v>13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0"/>
        <v>46116</v>
      </c>
      <c r="M31" s="121">
        <f ca="1" t="shared" si="1"/>
        <v>13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0"/>
        <v>46116</v>
      </c>
      <c r="M32" s="121">
        <f ca="1" t="shared" si="1"/>
        <v>13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0"/>
        <v>46116</v>
      </c>
      <c r="M33" s="121">
        <f ca="1" t="shared" si="1"/>
        <v>13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0"/>
        <v>46116</v>
      </c>
      <c r="M34" s="121">
        <f ca="1" t="shared" si="1"/>
        <v>13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0"/>
        <v>46116</v>
      </c>
      <c r="M35" s="121">
        <f ca="1" t="shared" si="1"/>
        <v>13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0"/>
        <v>46116</v>
      </c>
      <c r="M36" s="121">
        <f ca="1" t="shared" si="1"/>
        <v>13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0"/>
        <v>46116</v>
      </c>
      <c r="M37" s="121">
        <f ca="1" t="shared" si="1"/>
        <v>13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si="0"/>
        <v>46117</v>
      </c>
      <c r="M38" s="121">
        <f ca="1" t="shared" si="1"/>
        <v>14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0"/>
        <v>46117</v>
      </c>
      <c r="M39" s="121">
        <f ca="1" t="shared" si="1"/>
        <v>14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0"/>
        <v>46117</v>
      </c>
      <c r="M40" s="121">
        <f ca="1" t="shared" si="1"/>
        <v>14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0"/>
        <v>46117</v>
      </c>
      <c r="M41" s="121">
        <f ca="1" t="shared" si="1"/>
        <v>14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0"/>
        <v>46117</v>
      </c>
      <c r="M42" s="121">
        <f ca="1" t="shared" si="1"/>
        <v>14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0"/>
        <v>46117</v>
      </c>
      <c r="M43" s="121">
        <f ca="1" t="shared" si="1"/>
        <v>14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0"/>
        <v>46117</v>
      </c>
      <c r="M44" s="121">
        <f ca="1" t="shared" si="1"/>
        <v>14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0"/>
        <v>46117</v>
      </c>
      <c r="M45" s="121">
        <f ca="1" t="shared" si="1"/>
        <v>14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0"/>
        <v>46117</v>
      </c>
      <c r="M46" s="121">
        <f ca="1" t="shared" si="1"/>
        <v>14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0"/>
        <v>46117</v>
      </c>
      <c r="M47" s="121">
        <f ca="1" t="shared" si="1"/>
        <v>14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0"/>
        <v>46117</v>
      </c>
      <c r="M48" s="121">
        <f ca="1" t="shared" si="1"/>
        <v>14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0"/>
        <v>46117</v>
      </c>
      <c r="M49" s="121">
        <f ca="1" t="shared" si="1"/>
        <v>14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0"/>
        <v>46117</v>
      </c>
      <c r="M50" s="121">
        <f ca="1" t="shared" si="1"/>
        <v>14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0"/>
        <v>46117</v>
      </c>
      <c r="M51" s="121">
        <f ca="1" t="shared" si="1"/>
        <v>14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0"/>
        <v>46117</v>
      </c>
      <c r="M52" s="121">
        <f ca="1" t="shared" si="1"/>
        <v>14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0"/>
        <v>46117</v>
      </c>
      <c r="M53" s="121">
        <f ca="1" t="shared" si="1"/>
        <v>14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0"/>
        <v>46117</v>
      </c>
      <c r="M54" s="121">
        <f ca="1" t="shared" si="1"/>
        <v>14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0"/>
        <v>46117</v>
      </c>
      <c r="M55" s="121">
        <f ca="1" t="shared" si="1"/>
        <v>14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0"/>
        <v>46117</v>
      </c>
      <c r="M56" s="121">
        <f ca="1" t="shared" si="1"/>
        <v>14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0"/>
        <v>46117</v>
      </c>
      <c r="M57" s="121">
        <f ca="1" t="shared" si="1"/>
        <v>14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0"/>
        <v>46117</v>
      </c>
      <c r="M58" s="121">
        <f ca="1" t="shared" si="1"/>
        <v>14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0"/>
        <v>46117</v>
      </c>
      <c r="M59" s="121">
        <f ca="1" t="shared" si="1"/>
        <v>14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0"/>
        <v>46117</v>
      </c>
      <c r="M60" s="121">
        <f ca="1" t="shared" si="1"/>
        <v>14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0"/>
        <v>46117</v>
      </c>
      <c r="M61" s="121">
        <f ca="1" t="shared" si="1"/>
        <v>14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si="0"/>
        <v>46118</v>
      </c>
      <c r="M62" s="121">
        <f ca="1" t="shared" si="1"/>
        <v>15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0"/>
        <v>46118</v>
      </c>
      <c r="M63" s="121">
        <f ca="1" t="shared" si="1"/>
        <v>15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0"/>
        <v>46118</v>
      </c>
      <c r="M64" s="121">
        <f ca="1" t="shared" si="1"/>
        <v>15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0"/>
        <v>46118</v>
      </c>
      <c r="M65" s="121">
        <f ca="1" t="shared" si="1"/>
        <v>15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0"/>
        <v>46118</v>
      </c>
      <c r="M66" s="121">
        <f ca="1" t="shared" si="1"/>
        <v>15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ref="L67:L130" si="2">EDATE(I67,J67)</f>
        <v>46118</v>
      </c>
      <c r="M67" s="121">
        <f ca="1" t="shared" ref="M67:M130" si="3">L67-TODAY()</f>
        <v>15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2"/>
        <v>46118</v>
      </c>
      <c r="M68" s="121">
        <f ca="1" t="shared" si="3"/>
        <v>15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2"/>
        <v>46118</v>
      </c>
      <c r="M69" s="121">
        <f ca="1" t="shared" si="3"/>
        <v>15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2"/>
        <v>46118</v>
      </c>
      <c r="M70" s="121">
        <f ca="1" t="shared" si="3"/>
        <v>15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2"/>
        <v>46118</v>
      </c>
      <c r="M71" s="121">
        <f ca="1" t="shared" si="3"/>
        <v>15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2"/>
        <v>46118</v>
      </c>
      <c r="M72" s="121">
        <f ca="1" t="shared" si="3"/>
        <v>15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2"/>
        <v>46118</v>
      </c>
      <c r="M73" s="121">
        <f ca="1" t="shared" si="3"/>
        <v>15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si="2"/>
        <v>46118</v>
      </c>
      <c r="M74" s="121">
        <f ca="1" t="shared" si="3"/>
        <v>15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2"/>
        <v>46118</v>
      </c>
      <c r="M75" s="121">
        <f ca="1" t="shared" si="3"/>
        <v>15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2"/>
        <v>46118</v>
      </c>
      <c r="M76" s="121">
        <f ca="1" t="shared" si="3"/>
        <v>15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2"/>
        <v>46118</v>
      </c>
      <c r="M77" s="121">
        <f ca="1" t="shared" si="3"/>
        <v>15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2"/>
        <v>46118</v>
      </c>
      <c r="M78" s="121">
        <f ca="1" t="shared" si="3"/>
        <v>15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2"/>
        <v>46118</v>
      </c>
      <c r="M79" s="121">
        <f ca="1" t="shared" si="3"/>
        <v>15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si="2"/>
        <v>46118</v>
      </c>
      <c r="M80" s="121">
        <f ca="1" t="shared" si="3"/>
        <v>15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2"/>
        <v>46118</v>
      </c>
      <c r="M81" s="121">
        <f ca="1" t="shared" si="3"/>
        <v>15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2"/>
        <v>46118</v>
      </c>
      <c r="M82" s="121">
        <f ca="1" t="shared" si="3"/>
        <v>15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2"/>
        <v>46118</v>
      </c>
      <c r="M83" s="121">
        <f ca="1" t="shared" si="3"/>
        <v>15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2"/>
        <v>46118</v>
      </c>
      <c r="M84" s="121">
        <f ca="1" t="shared" si="3"/>
        <v>15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2"/>
        <v>46118</v>
      </c>
      <c r="M85" s="121">
        <f ca="1" t="shared" si="3"/>
        <v>15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2"/>
        <v>46118</v>
      </c>
      <c r="M86" s="121">
        <f ca="1" t="shared" si="3"/>
        <v>15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2"/>
        <v>46118</v>
      </c>
      <c r="M87" s="121">
        <f ca="1" t="shared" si="3"/>
        <v>15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2"/>
        <v>46118</v>
      </c>
      <c r="M88" s="121">
        <f ca="1" t="shared" si="3"/>
        <v>15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2"/>
        <v>46118</v>
      </c>
      <c r="M89" s="121">
        <f ca="1" t="shared" si="3"/>
        <v>15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2"/>
        <v>46118</v>
      </c>
      <c r="M90" s="121">
        <f ca="1" t="shared" si="3"/>
        <v>15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2"/>
        <v>46119</v>
      </c>
      <c r="M91" s="121">
        <f ca="1" t="shared" si="3"/>
        <v>16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2"/>
        <v>46119</v>
      </c>
      <c r="M92" s="121">
        <f ca="1" t="shared" si="3"/>
        <v>16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2"/>
        <v>46119</v>
      </c>
      <c r="M93" s="121">
        <f ca="1" t="shared" si="3"/>
        <v>16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2"/>
        <v>46119</v>
      </c>
      <c r="M94" s="121">
        <f ca="1" t="shared" si="3"/>
        <v>16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2"/>
        <v>46119</v>
      </c>
      <c r="M95" s="121">
        <f ca="1" t="shared" si="3"/>
        <v>16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2"/>
        <v>46119</v>
      </c>
      <c r="M96" s="121">
        <f ca="1" t="shared" si="3"/>
        <v>16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2"/>
        <v>46119</v>
      </c>
      <c r="M97" s="121">
        <f ca="1" t="shared" si="3"/>
        <v>16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2"/>
        <v>46119</v>
      </c>
      <c r="M98" s="121">
        <f ca="1" t="shared" si="3"/>
        <v>16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2"/>
        <v>46119</v>
      </c>
      <c r="M99" s="121">
        <f ca="1" t="shared" si="3"/>
        <v>16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2"/>
        <v>46119</v>
      </c>
      <c r="M100" s="121">
        <f ca="1" t="shared" si="3"/>
        <v>16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2"/>
        <v>46119</v>
      </c>
      <c r="M101" s="121">
        <f ca="1" t="shared" si="3"/>
        <v>16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2"/>
        <v>46119</v>
      </c>
      <c r="M102" s="121">
        <f ca="1" t="shared" si="3"/>
        <v>16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2"/>
        <v>46119</v>
      </c>
      <c r="M103" s="121">
        <f ca="1" t="shared" si="3"/>
        <v>16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2"/>
        <v>46119</v>
      </c>
      <c r="M104" s="121">
        <f ca="1" t="shared" si="3"/>
        <v>16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2"/>
        <v>46119</v>
      </c>
      <c r="M105" s="121">
        <f ca="1" t="shared" si="3"/>
        <v>16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2"/>
        <v>46119</v>
      </c>
      <c r="M106" s="121">
        <f ca="1" t="shared" si="3"/>
        <v>16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2"/>
        <v>46119</v>
      </c>
      <c r="M107" s="121">
        <f ca="1" t="shared" si="3"/>
        <v>16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2"/>
        <v>46119</v>
      </c>
      <c r="M108" s="121">
        <f ca="1" t="shared" si="3"/>
        <v>16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2"/>
        <v>46119</v>
      </c>
      <c r="M109" s="121">
        <f ca="1" t="shared" si="3"/>
        <v>16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2"/>
        <v>46119</v>
      </c>
      <c r="M110" s="121">
        <f ca="1" t="shared" si="3"/>
        <v>16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2"/>
        <v>46119</v>
      </c>
      <c r="M111" s="121">
        <f ca="1" t="shared" si="3"/>
        <v>16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si="2"/>
        <v>46119</v>
      </c>
      <c r="M112" s="121">
        <f ca="1" t="shared" si="3"/>
        <v>16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2"/>
        <v>46119</v>
      </c>
      <c r="M113" s="121">
        <f ca="1" t="shared" si="3"/>
        <v>16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2"/>
        <v>46119</v>
      </c>
      <c r="M114" s="121">
        <f ca="1" t="shared" si="3"/>
        <v>16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2"/>
        <v>46119</v>
      </c>
      <c r="M115" s="121">
        <f ca="1" t="shared" si="3"/>
        <v>16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2"/>
        <v>46119</v>
      </c>
      <c r="M116" s="121">
        <f ca="1" t="shared" si="3"/>
        <v>16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2"/>
        <v>46119</v>
      </c>
      <c r="M117" s="121">
        <f ca="1" t="shared" si="3"/>
        <v>16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2"/>
        <v>46119</v>
      </c>
      <c r="M118" s="121">
        <f ca="1" t="shared" si="3"/>
        <v>16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2"/>
        <v>46119</v>
      </c>
      <c r="M119" s="121">
        <f ca="1" t="shared" si="3"/>
        <v>16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2"/>
        <v>46120</v>
      </c>
      <c r="M120" s="121">
        <f ca="1" t="shared" si="3"/>
        <v>17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2"/>
        <v>46120</v>
      </c>
      <c r="M121" s="121">
        <f ca="1" t="shared" si="3"/>
        <v>17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2"/>
        <v>46120</v>
      </c>
      <c r="M122" s="121">
        <f ca="1" t="shared" si="3"/>
        <v>17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2"/>
        <v>46120</v>
      </c>
      <c r="M123" s="121">
        <f ca="1" t="shared" si="3"/>
        <v>17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2"/>
        <v>46120</v>
      </c>
      <c r="M124" s="121">
        <f ca="1" t="shared" si="3"/>
        <v>17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2"/>
        <v>46120</v>
      </c>
      <c r="M125" s="121">
        <f ca="1" t="shared" si="3"/>
        <v>17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2"/>
        <v>46120</v>
      </c>
      <c r="M126" s="121">
        <f ca="1" t="shared" si="3"/>
        <v>17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2"/>
        <v>46120</v>
      </c>
      <c r="M127" s="121">
        <f ca="1" t="shared" si="3"/>
        <v>17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2"/>
        <v>46120</v>
      </c>
      <c r="M128" s="121">
        <f ca="1" t="shared" si="3"/>
        <v>17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2"/>
        <v>46120</v>
      </c>
      <c r="M129" s="121">
        <f ca="1" t="shared" si="3"/>
        <v>17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2"/>
        <v>46120</v>
      </c>
      <c r="M130" s="121">
        <f ca="1" t="shared" si="3"/>
        <v>17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ref="L131:L194" si="4">EDATE(I131,J131)</f>
        <v>46120</v>
      </c>
      <c r="M131" s="121">
        <f ca="1" t="shared" ref="M131:M194" si="5">L131-TODAY()</f>
        <v>17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4"/>
        <v>46120</v>
      </c>
      <c r="M132" s="121">
        <f ca="1" t="shared" si="5"/>
        <v>17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4"/>
        <v>46120</v>
      </c>
      <c r="M133" s="121">
        <f ca="1" t="shared" si="5"/>
        <v>17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4"/>
        <v>46120</v>
      </c>
      <c r="M134" s="121">
        <f ca="1" t="shared" si="5"/>
        <v>17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4"/>
        <v>46120</v>
      </c>
      <c r="M135" s="121">
        <f ca="1" t="shared" si="5"/>
        <v>17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4"/>
        <v>46120</v>
      </c>
      <c r="M136" s="121">
        <f ca="1" t="shared" si="5"/>
        <v>17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4"/>
        <v>46120</v>
      </c>
      <c r="M137" s="121">
        <f ca="1" t="shared" si="5"/>
        <v>17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4"/>
        <v>46120</v>
      </c>
      <c r="M138" s="121">
        <f ca="1" t="shared" si="5"/>
        <v>17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4"/>
        <v>46120</v>
      </c>
      <c r="M139" s="121">
        <f ca="1" t="shared" si="5"/>
        <v>17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4"/>
        <v>46120</v>
      </c>
      <c r="M140" s="121">
        <f ca="1" t="shared" si="5"/>
        <v>17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4"/>
        <v>46120</v>
      </c>
      <c r="M141" s="121">
        <f ca="1" t="shared" si="5"/>
        <v>17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4"/>
        <v>46120</v>
      </c>
      <c r="M142" s="121">
        <f ca="1" t="shared" si="5"/>
        <v>17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4"/>
        <v>46120</v>
      </c>
      <c r="M143" s="121">
        <f ca="1" t="shared" si="5"/>
        <v>17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4"/>
        <v>46120</v>
      </c>
      <c r="M144" s="121">
        <f ca="1" t="shared" si="5"/>
        <v>17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4"/>
        <v>46120</v>
      </c>
      <c r="M145" s="121">
        <f ca="1" t="shared" si="5"/>
        <v>17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4"/>
        <v>46120</v>
      </c>
      <c r="M146" s="121">
        <f ca="1" t="shared" si="5"/>
        <v>17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4"/>
        <v>46121</v>
      </c>
      <c r="M147" s="121">
        <f ca="1" t="shared" si="5"/>
        <v>18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si="4"/>
        <v>46121</v>
      </c>
      <c r="M148" s="121">
        <f ca="1" t="shared" si="5"/>
        <v>18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4"/>
        <v>46121</v>
      </c>
      <c r="M149" s="121">
        <f ca="1" t="shared" si="5"/>
        <v>18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4"/>
        <v>46121</v>
      </c>
      <c r="M150" s="121">
        <f ca="1" t="shared" si="5"/>
        <v>18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4"/>
        <v>46121</v>
      </c>
      <c r="M151" s="121">
        <f ca="1" t="shared" si="5"/>
        <v>18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4"/>
        <v>46121</v>
      </c>
      <c r="M152" s="121">
        <f ca="1" t="shared" si="5"/>
        <v>18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4"/>
        <v>46121</v>
      </c>
      <c r="M153" s="121">
        <f ca="1" t="shared" si="5"/>
        <v>18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4"/>
        <v>46121</v>
      </c>
      <c r="M154" s="121">
        <f ca="1" t="shared" si="5"/>
        <v>18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4"/>
        <v>46121</v>
      </c>
      <c r="M155" s="121">
        <f ca="1" t="shared" si="5"/>
        <v>18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4"/>
        <v>46121</v>
      </c>
      <c r="M156" s="121">
        <f ca="1" t="shared" si="5"/>
        <v>18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4"/>
        <v>46121</v>
      </c>
      <c r="M157" s="121">
        <f ca="1" t="shared" si="5"/>
        <v>18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4"/>
        <v>46121</v>
      </c>
      <c r="M158" s="121">
        <f ca="1" t="shared" si="5"/>
        <v>18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4"/>
        <v>46121</v>
      </c>
      <c r="M159" s="121">
        <f ca="1" t="shared" si="5"/>
        <v>18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4"/>
        <v>46121</v>
      </c>
      <c r="M160" s="121">
        <f ca="1" t="shared" si="5"/>
        <v>18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4"/>
        <v>46121</v>
      </c>
      <c r="M161" s="121">
        <f ca="1" t="shared" si="5"/>
        <v>18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4"/>
        <v>46121</v>
      </c>
      <c r="M162" s="121">
        <f ca="1" t="shared" si="5"/>
        <v>18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4"/>
        <v>46121</v>
      </c>
      <c r="M163" s="121">
        <f ca="1" t="shared" si="5"/>
        <v>18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4"/>
        <v>46121</v>
      </c>
      <c r="M164" s="121">
        <f ca="1" t="shared" si="5"/>
        <v>18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4"/>
        <v>46121</v>
      </c>
      <c r="M165" s="121">
        <f ca="1" t="shared" si="5"/>
        <v>18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4"/>
        <v>#VALUE!</v>
      </c>
      <c r="M166" s="121" t="e">
        <f ca="1" t="shared" si="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4"/>
        <v>46121</v>
      </c>
      <c r="M167" s="121">
        <f ca="1" t="shared" si="5"/>
        <v>18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4"/>
        <v>46121</v>
      </c>
      <c r="M168" s="121">
        <f ca="1" t="shared" si="5"/>
        <v>18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4"/>
        <v>46121</v>
      </c>
      <c r="M169" s="121">
        <f ca="1" t="shared" si="5"/>
        <v>18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4"/>
        <v>46121</v>
      </c>
      <c r="M170" s="121">
        <f ca="1" t="shared" si="5"/>
        <v>18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4"/>
        <v>46121</v>
      </c>
      <c r="M171" s="121">
        <f ca="1" t="shared" si="5"/>
        <v>18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4"/>
        <v>46121</v>
      </c>
      <c r="M172" s="121">
        <f ca="1" t="shared" si="5"/>
        <v>18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4"/>
        <v>46121</v>
      </c>
      <c r="M173" s="121">
        <f ca="1" t="shared" si="5"/>
        <v>18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4"/>
        <v>46121</v>
      </c>
      <c r="M174" s="121">
        <f ca="1" t="shared" si="5"/>
        <v>18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si="4"/>
        <v>46122</v>
      </c>
      <c r="M175" s="121">
        <f ca="1" t="shared" si="5"/>
        <v>19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4"/>
        <v>46122</v>
      </c>
      <c r="M176" s="121">
        <f ca="1" t="shared" si="5"/>
        <v>19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4"/>
        <v>46122</v>
      </c>
      <c r="M177" s="121">
        <f ca="1" t="shared" si="5"/>
        <v>19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4"/>
        <v>46122</v>
      </c>
      <c r="M178" s="121">
        <f ca="1" t="shared" si="5"/>
        <v>19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4"/>
        <v>46122</v>
      </c>
      <c r="M179" s="121">
        <f ca="1" t="shared" si="5"/>
        <v>19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4"/>
        <v>46122</v>
      </c>
      <c r="M180" s="121">
        <f ca="1" t="shared" si="5"/>
        <v>19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4"/>
        <v>46122</v>
      </c>
      <c r="M181" s="121">
        <f ca="1" t="shared" si="5"/>
        <v>19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4"/>
        <v>46122</v>
      </c>
      <c r="M182" s="121">
        <f ca="1" t="shared" si="5"/>
        <v>19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4"/>
        <v>46122</v>
      </c>
      <c r="M183" s="121">
        <f ca="1" t="shared" si="5"/>
        <v>19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4"/>
        <v>46122</v>
      </c>
      <c r="M184" s="121">
        <f ca="1" t="shared" si="5"/>
        <v>19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4"/>
        <v>46122</v>
      </c>
      <c r="M185" s="121">
        <f ca="1" t="shared" si="5"/>
        <v>19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4"/>
        <v>46122</v>
      </c>
      <c r="M186" s="121">
        <f ca="1" t="shared" si="5"/>
        <v>19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4"/>
        <v>46122</v>
      </c>
      <c r="M187" s="121">
        <f ca="1" t="shared" si="5"/>
        <v>19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4"/>
        <v>46122</v>
      </c>
      <c r="M188" s="121">
        <f ca="1" t="shared" si="5"/>
        <v>19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4"/>
        <v>46122</v>
      </c>
      <c r="M189" s="121">
        <f ca="1" t="shared" si="5"/>
        <v>19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4"/>
        <v>46122</v>
      </c>
      <c r="M190" s="121">
        <f ca="1" t="shared" si="5"/>
        <v>19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4"/>
        <v>#VALUE!</v>
      </c>
      <c r="M191" s="121" t="e">
        <f ca="1" t="shared" si="5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4"/>
        <v>#VALUE!</v>
      </c>
      <c r="M192" s="121" t="e">
        <f ca="1" t="shared" si="5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4"/>
        <v>46122</v>
      </c>
      <c r="M193" s="121">
        <f ca="1" t="shared" si="5"/>
        <v>19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4"/>
        <v>46122</v>
      </c>
      <c r="M194" s="121">
        <f ca="1" t="shared" si="5"/>
        <v>19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ref="L195:L258" si="6">EDATE(I195,J195)</f>
        <v>46122</v>
      </c>
      <c r="M195" s="121">
        <f ca="1" t="shared" ref="M195:M258" si="7">L195-TODAY()</f>
        <v>19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6"/>
        <v>46122</v>
      </c>
      <c r="M196" s="121">
        <f ca="1" t="shared" si="7"/>
        <v>19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6"/>
        <v>46122</v>
      </c>
      <c r="M197" s="121">
        <f ca="1" t="shared" si="7"/>
        <v>19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6"/>
        <v>46122</v>
      </c>
      <c r="M198" s="121">
        <f ca="1" t="shared" si="7"/>
        <v>19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6"/>
        <v>46122</v>
      </c>
      <c r="M199" s="121">
        <f ca="1" t="shared" si="7"/>
        <v>19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si="6"/>
        <v>46123</v>
      </c>
      <c r="M200" s="121">
        <f ca="1" t="shared" si="7"/>
        <v>20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6"/>
        <v>46123</v>
      </c>
      <c r="M201" s="121">
        <f ca="1" t="shared" si="7"/>
        <v>20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6"/>
        <v>46123</v>
      </c>
      <c r="M202" s="121">
        <f ca="1" t="shared" si="7"/>
        <v>20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6"/>
        <v>46123</v>
      </c>
      <c r="M203" s="121">
        <f ca="1" t="shared" si="7"/>
        <v>20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6"/>
        <v>46123</v>
      </c>
      <c r="M204" s="121">
        <f ca="1" t="shared" si="7"/>
        <v>20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6"/>
        <v>46123</v>
      </c>
      <c r="M205" s="121">
        <f ca="1" t="shared" si="7"/>
        <v>20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6"/>
        <v>46123</v>
      </c>
      <c r="M206" s="121">
        <f ca="1" t="shared" si="7"/>
        <v>20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6"/>
        <v>46123</v>
      </c>
      <c r="M207" s="121">
        <f ca="1" t="shared" si="7"/>
        <v>20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si="6"/>
        <v>46124</v>
      </c>
      <c r="M208" s="121">
        <f ca="1" t="shared" si="7"/>
        <v>21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6"/>
        <v>46124</v>
      </c>
      <c r="M209" s="121">
        <f ca="1" t="shared" si="7"/>
        <v>21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6"/>
        <v>46124</v>
      </c>
      <c r="M210" s="121">
        <f ca="1" t="shared" si="7"/>
        <v>21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6"/>
        <v>46124</v>
      </c>
      <c r="M211" s="121">
        <f ca="1" t="shared" si="7"/>
        <v>21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6"/>
        <v>46124</v>
      </c>
      <c r="M212" s="121">
        <f ca="1" t="shared" si="7"/>
        <v>21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6"/>
        <v>46124</v>
      </c>
      <c r="M213" s="121">
        <f ca="1" t="shared" si="7"/>
        <v>21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6"/>
        <v>46124</v>
      </c>
      <c r="M214" s="121">
        <f ca="1" t="shared" si="7"/>
        <v>21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6"/>
        <v>46124</v>
      </c>
      <c r="M215" s="121">
        <f ca="1" t="shared" si="7"/>
        <v>21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6"/>
        <v>#VALUE!</v>
      </c>
      <c r="M216" s="121" t="e">
        <f ca="1" t="shared" si="7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6"/>
        <v>46124</v>
      </c>
      <c r="M217" s="121">
        <f ca="1" t="shared" si="7"/>
        <v>21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6"/>
        <v>46124</v>
      </c>
      <c r="M218" s="121">
        <f ca="1" t="shared" si="7"/>
        <v>21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6"/>
        <v>46124</v>
      </c>
      <c r="M219" s="121">
        <f ca="1" t="shared" si="7"/>
        <v>21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6"/>
        <v>46124</v>
      </c>
      <c r="M220" s="121">
        <f ca="1" t="shared" si="7"/>
        <v>21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6"/>
        <v>46124</v>
      </c>
      <c r="M221" s="121">
        <f ca="1" t="shared" si="7"/>
        <v>21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6"/>
        <v>46124</v>
      </c>
      <c r="M222" s="121">
        <f ca="1" t="shared" si="7"/>
        <v>21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6"/>
        <v>46124</v>
      </c>
      <c r="M223" s="121">
        <f ca="1" t="shared" si="7"/>
        <v>21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si="6"/>
        <v>46125</v>
      </c>
      <c r="M224" s="121">
        <f ca="1" t="shared" si="7"/>
        <v>22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6"/>
        <v>46125</v>
      </c>
      <c r="M225" s="121">
        <f ca="1" t="shared" si="7"/>
        <v>22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6"/>
        <v>46125</v>
      </c>
      <c r="M226" s="121">
        <f ca="1" t="shared" si="7"/>
        <v>22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6"/>
        <v>46125</v>
      </c>
      <c r="M227" s="121">
        <f ca="1" t="shared" si="7"/>
        <v>22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6"/>
        <v>46125</v>
      </c>
      <c r="M228" s="121">
        <f ca="1" t="shared" si="7"/>
        <v>22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6"/>
        <v>46125</v>
      </c>
      <c r="M229" s="121">
        <f ca="1" t="shared" si="7"/>
        <v>22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6"/>
        <v>46125</v>
      </c>
      <c r="M230" s="121">
        <f ca="1" t="shared" si="7"/>
        <v>22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6"/>
        <v>46125</v>
      </c>
      <c r="M231" s="121">
        <f ca="1" t="shared" si="7"/>
        <v>22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6"/>
        <v>46125</v>
      </c>
      <c r="M232" s="121">
        <f ca="1" t="shared" si="7"/>
        <v>22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6"/>
        <v>46125</v>
      </c>
      <c r="M233" s="121">
        <f ca="1" t="shared" si="7"/>
        <v>22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6"/>
        <v>#VALUE!</v>
      </c>
      <c r="M234" s="121" t="e">
        <f ca="1" t="shared" si="7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6"/>
        <v>46125</v>
      </c>
      <c r="M235" s="121">
        <f ca="1" t="shared" si="7"/>
        <v>22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6"/>
        <v>46125</v>
      </c>
      <c r="M236" s="121">
        <f ca="1" t="shared" si="7"/>
        <v>22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6"/>
        <v>46125</v>
      </c>
      <c r="M237" s="121">
        <f ca="1" t="shared" si="7"/>
        <v>22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si="6"/>
        <v>46126</v>
      </c>
      <c r="M238" s="121">
        <f ca="1" t="shared" si="7"/>
        <v>23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6"/>
        <v>46126</v>
      </c>
      <c r="M239" s="121">
        <f ca="1" t="shared" si="7"/>
        <v>23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6"/>
        <v>46126</v>
      </c>
      <c r="M240" s="121">
        <f ca="1" t="shared" si="7"/>
        <v>23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6"/>
        <v>46126</v>
      </c>
      <c r="M241" s="121">
        <f ca="1" t="shared" si="7"/>
        <v>23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6"/>
        <v>46126</v>
      </c>
      <c r="M242" s="121">
        <f ca="1" t="shared" si="7"/>
        <v>23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6"/>
        <v>46126</v>
      </c>
      <c r="M243" s="121">
        <f ca="1" t="shared" si="7"/>
        <v>23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6"/>
        <v>46126</v>
      </c>
      <c r="M244" s="121">
        <f ca="1" t="shared" si="7"/>
        <v>23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6"/>
        <v>46126</v>
      </c>
      <c r="M245" s="121">
        <f ca="1" t="shared" si="7"/>
        <v>23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6"/>
        <v>46126</v>
      </c>
      <c r="M246" s="121">
        <f ca="1" t="shared" si="7"/>
        <v>23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6"/>
        <v>46126</v>
      </c>
      <c r="M247" s="121">
        <f ca="1" t="shared" si="7"/>
        <v>23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6"/>
        <v>46126</v>
      </c>
      <c r="M248" s="121">
        <f ca="1" t="shared" si="7"/>
        <v>23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6"/>
        <v>46126</v>
      </c>
      <c r="M249" s="121">
        <f ca="1" t="shared" si="7"/>
        <v>23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6"/>
        <v>46126</v>
      </c>
      <c r="M250" s="121">
        <f ca="1" t="shared" si="7"/>
        <v>23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6"/>
        <v>46126</v>
      </c>
      <c r="M251" s="121">
        <f ca="1" t="shared" si="7"/>
        <v>23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6"/>
        <v>46126</v>
      </c>
      <c r="M252" s="121">
        <f ca="1" t="shared" si="7"/>
        <v>23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6"/>
        <v>46126</v>
      </c>
      <c r="M253" s="121">
        <f ca="1" t="shared" si="7"/>
        <v>23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6"/>
        <v>46126</v>
      </c>
      <c r="M254" s="121">
        <f ca="1" t="shared" si="7"/>
        <v>23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6"/>
        <v>46126</v>
      </c>
      <c r="M255" s="121">
        <f ca="1" t="shared" si="7"/>
        <v>23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6"/>
        <v>46126</v>
      </c>
      <c r="M256" s="121">
        <f ca="1" t="shared" si="7"/>
        <v>23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6"/>
        <v>46126</v>
      </c>
      <c r="M257" s="121">
        <f ca="1" t="shared" si="7"/>
        <v>23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6"/>
        <v>46126</v>
      </c>
      <c r="M258" s="121">
        <f ca="1" t="shared" si="7"/>
        <v>23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ref="L259:L322" si="8">EDATE(I259,J259)</f>
        <v>46126</v>
      </c>
      <c r="M259" s="121">
        <f ca="1" t="shared" ref="M259:M322" si="9">L259-TODAY()</f>
        <v>23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8"/>
        <v>46126</v>
      </c>
      <c r="M260" s="121">
        <f ca="1" t="shared" si="9"/>
        <v>23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8"/>
        <v>46126</v>
      </c>
      <c r="M261" s="121">
        <f ca="1" t="shared" si="9"/>
        <v>23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8"/>
        <v>46126</v>
      </c>
      <c r="M262" s="121">
        <f ca="1" t="shared" si="9"/>
        <v>23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8"/>
        <v>46126</v>
      </c>
      <c r="M263" s="121">
        <f ca="1" t="shared" si="9"/>
        <v>23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8"/>
        <v>46126</v>
      </c>
      <c r="M264" s="121">
        <f ca="1" t="shared" si="9"/>
        <v>23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8"/>
        <v>46126</v>
      </c>
      <c r="M265" s="121">
        <f ca="1" t="shared" si="9"/>
        <v>23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8"/>
        <v>46126</v>
      </c>
      <c r="M266" s="121">
        <f ca="1" t="shared" si="9"/>
        <v>23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si="8"/>
        <v>46126</v>
      </c>
      <c r="M267" s="121">
        <f ca="1" t="shared" si="9"/>
        <v>23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8"/>
        <v>46127</v>
      </c>
      <c r="M268" s="121">
        <f ca="1" t="shared" si="9"/>
        <v>24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8"/>
        <v>46127</v>
      </c>
      <c r="M269" s="121">
        <f ca="1" t="shared" si="9"/>
        <v>24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8"/>
        <v>46127</v>
      </c>
      <c r="M270" s="121">
        <f ca="1" t="shared" si="9"/>
        <v>24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8"/>
        <v>46127</v>
      </c>
      <c r="M271" s="121">
        <f ca="1" t="shared" si="9"/>
        <v>24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8"/>
        <v>46127</v>
      </c>
      <c r="M272" s="121">
        <f ca="1" t="shared" si="9"/>
        <v>24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8"/>
        <v>46127</v>
      </c>
      <c r="M273" s="121">
        <f ca="1" t="shared" si="9"/>
        <v>24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8"/>
        <v>46127</v>
      </c>
      <c r="M274" s="121">
        <f ca="1" t="shared" si="9"/>
        <v>24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8"/>
        <v>46127</v>
      </c>
      <c r="M275" s="121">
        <f ca="1" t="shared" si="9"/>
        <v>24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8"/>
        <v>46127</v>
      </c>
      <c r="M276" s="121">
        <f ca="1" t="shared" si="9"/>
        <v>24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8"/>
        <v>46127</v>
      </c>
      <c r="M277" s="121">
        <f ca="1" t="shared" si="9"/>
        <v>24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8"/>
        <v>46127</v>
      </c>
      <c r="M278" s="121">
        <f ca="1" t="shared" si="9"/>
        <v>24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8"/>
        <v>46127</v>
      </c>
      <c r="M279" s="121">
        <f ca="1" t="shared" si="9"/>
        <v>24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8"/>
        <v>46127</v>
      </c>
      <c r="M280" s="121">
        <f ca="1" t="shared" si="9"/>
        <v>24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8"/>
        <v>46127</v>
      </c>
      <c r="M281" s="121">
        <f ca="1" t="shared" si="9"/>
        <v>24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8"/>
        <v>46127</v>
      </c>
      <c r="M282" s="121">
        <f ca="1" t="shared" si="9"/>
        <v>24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8"/>
        <v>46127</v>
      </c>
      <c r="M283" s="121">
        <f ca="1" t="shared" si="9"/>
        <v>24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8"/>
        <v>46127</v>
      </c>
      <c r="M284" s="121">
        <f ca="1" t="shared" si="9"/>
        <v>24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8"/>
        <v>46127</v>
      </c>
      <c r="M285" s="121">
        <f ca="1" t="shared" si="9"/>
        <v>24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8"/>
        <v>46127</v>
      </c>
      <c r="M286" s="121">
        <f ca="1" t="shared" si="9"/>
        <v>24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8"/>
        <v>#VALUE!</v>
      </c>
      <c r="M287" s="121" t="e">
        <f ca="1" t="shared" si="9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8"/>
        <v>46127</v>
      </c>
      <c r="M288" s="121">
        <f ca="1" t="shared" si="9"/>
        <v>24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8"/>
        <v>46127</v>
      </c>
      <c r="M289" s="121">
        <f ca="1" t="shared" si="9"/>
        <v>24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8"/>
        <v>46127</v>
      </c>
      <c r="M290" s="121">
        <f ca="1" t="shared" si="9"/>
        <v>24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8"/>
        <v>46127</v>
      </c>
      <c r="M291" s="121">
        <f ca="1" t="shared" si="9"/>
        <v>24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si="8"/>
        <v>46128</v>
      </c>
      <c r="M292" s="121">
        <f ca="1" t="shared" si="9"/>
        <v>25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8"/>
        <v>46128</v>
      </c>
      <c r="M293" s="121">
        <f ca="1" t="shared" si="9"/>
        <v>25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8"/>
        <v>46128</v>
      </c>
      <c r="M294" s="121">
        <f ca="1" t="shared" si="9"/>
        <v>25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8"/>
        <v>46128</v>
      </c>
      <c r="M295" s="121">
        <f ca="1" t="shared" si="9"/>
        <v>25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8"/>
        <v>46128</v>
      </c>
      <c r="M296" s="121">
        <f ca="1" t="shared" si="9"/>
        <v>25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8"/>
        <v>46128</v>
      </c>
      <c r="M297" s="121">
        <f ca="1" t="shared" si="9"/>
        <v>25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8"/>
        <v>46128</v>
      </c>
      <c r="M298" s="121">
        <f ca="1" t="shared" si="9"/>
        <v>25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8"/>
        <v>46128</v>
      </c>
      <c r="M299" s="121">
        <f ca="1" t="shared" si="9"/>
        <v>25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8"/>
        <v>46128</v>
      </c>
      <c r="M300" s="121">
        <f ca="1" t="shared" si="9"/>
        <v>25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8"/>
        <v>46128</v>
      </c>
      <c r="M301" s="121">
        <f ca="1" t="shared" si="9"/>
        <v>25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8"/>
        <v>46128</v>
      </c>
      <c r="M302" s="121">
        <f ca="1" t="shared" si="9"/>
        <v>25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8"/>
        <v>46128</v>
      </c>
      <c r="M303" s="121">
        <f ca="1" t="shared" si="9"/>
        <v>25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8"/>
        <v>46128</v>
      </c>
      <c r="M304" s="121">
        <f ca="1" t="shared" si="9"/>
        <v>25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8"/>
        <v>46128</v>
      </c>
      <c r="M305" s="121">
        <f ca="1" t="shared" si="9"/>
        <v>25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8"/>
        <v>46128</v>
      </c>
      <c r="M306" s="121">
        <f ca="1" t="shared" si="9"/>
        <v>25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si="8"/>
        <v>46129</v>
      </c>
      <c r="M307" s="121">
        <f ca="1" t="shared" si="9"/>
        <v>26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8"/>
        <v>46129</v>
      </c>
      <c r="M308" s="121">
        <f ca="1" t="shared" si="9"/>
        <v>26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8"/>
        <v>46129</v>
      </c>
      <c r="M309" s="121">
        <f ca="1" t="shared" si="9"/>
        <v>26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8"/>
        <v>46129</v>
      </c>
      <c r="M310" s="121">
        <f ca="1" t="shared" si="9"/>
        <v>26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8"/>
        <v>46129</v>
      </c>
      <c r="M311" s="121">
        <f ca="1" t="shared" si="9"/>
        <v>26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8"/>
        <v>46129</v>
      </c>
      <c r="M312" s="121">
        <f ca="1" t="shared" si="9"/>
        <v>26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8"/>
        <v>46129</v>
      </c>
      <c r="M313" s="121">
        <f ca="1" t="shared" si="9"/>
        <v>26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8"/>
        <v>46129</v>
      </c>
      <c r="M314" s="121">
        <f ca="1" t="shared" si="9"/>
        <v>26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8"/>
        <v>46129</v>
      </c>
      <c r="M315" s="121">
        <f ca="1" t="shared" si="9"/>
        <v>26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8"/>
        <v>46129</v>
      </c>
      <c r="M316" s="121">
        <f ca="1" t="shared" si="9"/>
        <v>26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8"/>
        <v>#VALUE!</v>
      </c>
      <c r="M317" s="121" t="e">
        <f ca="1" t="shared" si="9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8"/>
        <v>46129</v>
      </c>
      <c r="M318" s="121">
        <f ca="1" t="shared" si="9"/>
        <v>26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8"/>
        <v>46129</v>
      </c>
      <c r="M319" s="121">
        <f ca="1" t="shared" si="9"/>
        <v>26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8"/>
        <v>46129</v>
      </c>
      <c r="M320" s="121">
        <f ca="1" t="shared" si="9"/>
        <v>26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8"/>
        <v>46129</v>
      </c>
      <c r="M321" s="121">
        <f ca="1" t="shared" si="9"/>
        <v>26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8"/>
        <v>46129</v>
      </c>
      <c r="M322" s="121">
        <f ca="1" t="shared" si="9"/>
        <v>26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ref="L323:L386" si="10">EDATE(I323,J323)</f>
        <v>46129</v>
      </c>
      <c r="M323" s="121">
        <f ca="1" t="shared" ref="M323:M386" si="11">L323-TODAY()</f>
        <v>26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10"/>
        <v>46129</v>
      </c>
      <c r="M324" s="121">
        <f ca="1" t="shared" si="11"/>
        <v>26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10"/>
        <v>46129</v>
      </c>
      <c r="M325" s="121">
        <f ca="1" t="shared" si="11"/>
        <v>26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10"/>
        <v>46129</v>
      </c>
      <c r="M326" s="121">
        <f ca="1" t="shared" si="11"/>
        <v>26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10"/>
        <v>46129</v>
      </c>
      <c r="M327" s="121">
        <f ca="1" t="shared" si="11"/>
        <v>26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10"/>
        <v>46129</v>
      </c>
      <c r="M328" s="121">
        <f ca="1" t="shared" si="11"/>
        <v>26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10"/>
        <v>46129</v>
      </c>
      <c r="M329" s="121">
        <f ca="1" t="shared" si="11"/>
        <v>26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10"/>
        <v>#VALUE!</v>
      </c>
      <c r="M330" s="121" t="e">
        <f ca="1" t="shared" si="1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10"/>
        <v>46129</v>
      </c>
      <c r="M331" s="121">
        <f ca="1" t="shared" si="11"/>
        <v>26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10"/>
        <v>46129</v>
      </c>
      <c r="M332" s="121">
        <f ca="1" t="shared" si="11"/>
        <v>26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10"/>
        <v>46129</v>
      </c>
      <c r="M333" s="121">
        <f ca="1" t="shared" si="11"/>
        <v>26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10"/>
        <v>46129</v>
      </c>
      <c r="M334" s="121">
        <f ca="1" t="shared" si="11"/>
        <v>26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10"/>
        <v>46129</v>
      </c>
      <c r="M335" s="121">
        <f ca="1" t="shared" si="11"/>
        <v>26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10"/>
        <v>46129</v>
      </c>
      <c r="M336" s="121">
        <f ca="1" t="shared" si="11"/>
        <v>26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10"/>
        <v>46129</v>
      </c>
      <c r="M337" s="121">
        <f ca="1" t="shared" si="11"/>
        <v>26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si="10"/>
        <v>46130</v>
      </c>
      <c r="M338" s="121">
        <f ca="1" t="shared" si="11"/>
        <v>27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10"/>
        <v>46130</v>
      </c>
      <c r="M339" s="121">
        <f ca="1" t="shared" si="11"/>
        <v>27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10"/>
        <v>46130</v>
      </c>
      <c r="M340" s="121">
        <f ca="1" t="shared" si="11"/>
        <v>27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10"/>
        <v>46130</v>
      </c>
      <c r="M341" s="121">
        <f ca="1" t="shared" si="11"/>
        <v>27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10"/>
        <v>46130</v>
      </c>
      <c r="M342" s="121">
        <f ca="1" t="shared" si="11"/>
        <v>27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10"/>
        <v>46130</v>
      </c>
      <c r="M343" s="121">
        <f ca="1" t="shared" si="11"/>
        <v>27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10"/>
        <v>#VALUE!</v>
      </c>
      <c r="M344" s="121" t="e">
        <f ca="1" t="shared" si="11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10"/>
        <v>46130</v>
      </c>
      <c r="M345" s="121">
        <f ca="1" t="shared" si="11"/>
        <v>27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10"/>
        <v>46130</v>
      </c>
      <c r="M346" s="121">
        <f ca="1" t="shared" si="11"/>
        <v>27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si="10"/>
        <v>46131</v>
      </c>
      <c r="M347" s="121">
        <f ca="1" t="shared" si="11"/>
        <v>28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10"/>
        <v>46131</v>
      </c>
      <c r="M348" s="121">
        <f ca="1" t="shared" si="11"/>
        <v>28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10"/>
        <v>46131</v>
      </c>
      <c r="M349" s="121">
        <f ca="1" t="shared" si="11"/>
        <v>28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10"/>
        <v>46131</v>
      </c>
      <c r="M350" s="121">
        <f ca="1" t="shared" si="11"/>
        <v>28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10"/>
        <v>46131</v>
      </c>
      <c r="M351" s="121">
        <f ca="1" t="shared" si="11"/>
        <v>28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10"/>
        <v>46131</v>
      </c>
      <c r="M352" s="121">
        <f ca="1" t="shared" si="11"/>
        <v>28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10"/>
        <v>46131</v>
      </c>
      <c r="M353" s="121">
        <f ca="1" t="shared" si="11"/>
        <v>28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10"/>
        <v>46131</v>
      </c>
      <c r="M354" s="121">
        <f ca="1" t="shared" si="11"/>
        <v>28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10"/>
        <v>46131</v>
      </c>
      <c r="M355" s="121">
        <f ca="1" t="shared" si="11"/>
        <v>28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10"/>
        <v>46131</v>
      </c>
      <c r="M356" s="121">
        <f ca="1" t="shared" si="11"/>
        <v>28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10"/>
        <v>46131</v>
      </c>
      <c r="M357" s="121">
        <f ca="1" t="shared" si="11"/>
        <v>28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10"/>
        <v>46131</v>
      </c>
      <c r="M358" s="121">
        <f ca="1" t="shared" si="11"/>
        <v>28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10"/>
        <v>46131</v>
      </c>
      <c r="M359" s="121">
        <f ca="1" t="shared" si="11"/>
        <v>28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10"/>
        <v>46131</v>
      </c>
      <c r="M360" s="121">
        <f ca="1" t="shared" si="11"/>
        <v>28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10"/>
        <v>46132</v>
      </c>
      <c r="M361" s="121">
        <f ca="1" t="shared" si="11"/>
        <v>29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si="10"/>
        <v>46132</v>
      </c>
      <c r="M362" s="121">
        <f ca="1" t="shared" si="11"/>
        <v>29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10"/>
        <v>46132</v>
      </c>
      <c r="M363" s="121">
        <f ca="1" t="shared" si="11"/>
        <v>29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10"/>
        <v>46132</v>
      </c>
      <c r="M364" s="121">
        <f ca="1" t="shared" si="11"/>
        <v>29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10"/>
        <v>46132</v>
      </c>
      <c r="M365" s="121">
        <f ca="1" t="shared" si="11"/>
        <v>29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10"/>
        <v>46132</v>
      </c>
      <c r="M366" s="121">
        <f ca="1" t="shared" si="11"/>
        <v>29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10"/>
        <v>46132</v>
      </c>
      <c r="M367" s="121">
        <f ca="1" t="shared" si="11"/>
        <v>29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10"/>
        <v>46132</v>
      </c>
      <c r="M368" s="121">
        <f ca="1" t="shared" si="11"/>
        <v>29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10"/>
        <v>46132</v>
      </c>
      <c r="M369" s="121">
        <f ca="1" t="shared" si="11"/>
        <v>29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10"/>
        <v>46132</v>
      </c>
      <c r="M370" s="121">
        <f ca="1" t="shared" si="11"/>
        <v>29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10"/>
        <v>46132</v>
      </c>
      <c r="M371" s="121">
        <f ca="1" t="shared" si="11"/>
        <v>29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10"/>
        <v>46132</v>
      </c>
      <c r="M372" s="121">
        <f ca="1" t="shared" si="11"/>
        <v>29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10"/>
        <v>46132</v>
      </c>
      <c r="M373" s="121">
        <f ca="1" t="shared" si="11"/>
        <v>29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10"/>
        <v>46132</v>
      </c>
      <c r="M374" s="121">
        <f ca="1" t="shared" si="11"/>
        <v>29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10"/>
        <v>46132</v>
      </c>
      <c r="M375" s="121">
        <f ca="1" t="shared" si="11"/>
        <v>29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10"/>
        <v>46132</v>
      </c>
      <c r="M376" s="121">
        <f ca="1" t="shared" si="11"/>
        <v>29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10"/>
        <v>46132</v>
      </c>
      <c r="M377" s="121">
        <f ca="1" t="shared" si="11"/>
        <v>29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10"/>
        <v>46132</v>
      </c>
      <c r="M378" s="121">
        <f ca="1" t="shared" si="11"/>
        <v>29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10"/>
        <v>46132</v>
      </c>
      <c r="M379" s="121">
        <f ca="1" t="shared" si="11"/>
        <v>29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10"/>
        <v>#VALUE!</v>
      </c>
      <c r="M380" s="121" t="e">
        <f ca="1" t="shared" si="11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10"/>
        <v>#VALUE!</v>
      </c>
      <c r="M381" s="121" t="e">
        <f ca="1" t="shared" si="11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10"/>
        <v>#VALUE!</v>
      </c>
      <c r="M382" s="121" t="e">
        <f ca="1" t="shared" si="11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10"/>
        <v>46132</v>
      </c>
      <c r="M383" s="121">
        <f ca="1" t="shared" si="11"/>
        <v>29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10"/>
        <v>46132</v>
      </c>
      <c r="M384" s="121">
        <f ca="1" t="shared" si="11"/>
        <v>29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10"/>
        <v>46132</v>
      </c>
      <c r="M385" s="121">
        <f ca="1" t="shared" si="11"/>
        <v>29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10"/>
        <v>46132</v>
      </c>
      <c r="M386" s="121">
        <f ca="1" t="shared" si="11"/>
        <v>29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ref="L387:L450" si="12">EDATE(I387,J387)</f>
        <v>46132</v>
      </c>
      <c r="M387" s="121">
        <f ca="1" t="shared" ref="M387:M450" si="13">L387-TODAY()</f>
        <v>29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12"/>
        <v>46132</v>
      </c>
      <c r="M388" s="121">
        <f ca="1" t="shared" si="13"/>
        <v>29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12"/>
        <v>46132</v>
      </c>
      <c r="M389" s="121">
        <f ca="1" t="shared" si="13"/>
        <v>29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si="12"/>
        <v>46133</v>
      </c>
      <c r="M390" s="121">
        <f ca="1" t="shared" si="13"/>
        <v>30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12"/>
        <v>46133</v>
      </c>
      <c r="M391" s="121">
        <f ca="1" t="shared" si="13"/>
        <v>30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12"/>
        <v>46133</v>
      </c>
      <c r="M392" s="121">
        <f ca="1" t="shared" si="13"/>
        <v>30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12"/>
        <v>46133</v>
      </c>
      <c r="M393" s="121">
        <f ca="1" t="shared" si="13"/>
        <v>30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12"/>
        <v>46133</v>
      </c>
      <c r="M394" s="121">
        <f ca="1" t="shared" si="13"/>
        <v>30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12"/>
        <v>46133</v>
      </c>
      <c r="M395" s="121">
        <f ca="1" t="shared" si="13"/>
        <v>30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12"/>
        <v>46133</v>
      </c>
      <c r="M396" s="121">
        <f ca="1" t="shared" si="13"/>
        <v>30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12"/>
        <v>46133</v>
      </c>
      <c r="M397" s="121">
        <f ca="1" t="shared" si="13"/>
        <v>30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12"/>
        <v>46133</v>
      </c>
      <c r="M398" s="121">
        <f ca="1" t="shared" si="13"/>
        <v>30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12"/>
        <v>46133</v>
      </c>
      <c r="M399" s="121">
        <f ca="1" t="shared" si="13"/>
        <v>30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12"/>
        <v>46133</v>
      </c>
      <c r="M400" s="121">
        <f ca="1" t="shared" si="13"/>
        <v>30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12"/>
        <v>46133</v>
      </c>
      <c r="M401" s="121">
        <f ca="1" t="shared" si="13"/>
        <v>30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12"/>
        <v>46133</v>
      </c>
      <c r="M402" s="121">
        <f ca="1" t="shared" si="13"/>
        <v>30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12"/>
        <v>46133</v>
      </c>
      <c r="M403" s="121">
        <f ca="1" t="shared" si="13"/>
        <v>30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12"/>
        <v>46133</v>
      </c>
      <c r="M404" s="121">
        <f ca="1" t="shared" si="13"/>
        <v>30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12"/>
        <v>46133</v>
      </c>
      <c r="M405" s="121">
        <f ca="1" t="shared" si="13"/>
        <v>30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12"/>
        <v>46133</v>
      </c>
      <c r="M406" s="121">
        <f ca="1" t="shared" si="13"/>
        <v>30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12"/>
        <v>#VALUE!</v>
      </c>
      <c r="M407" s="121" t="e">
        <f ca="1" t="shared" si="13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12"/>
        <v>46133</v>
      </c>
      <c r="M408" s="121">
        <f ca="1" t="shared" si="13"/>
        <v>30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si="12"/>
        <v>46134</v>
      </c>
      <c r="M409" s="121">
        <f ca="1" t="shared" si="13"/>
        <v>31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12"/>
        <v>46134</v>
      </c>
      <c r="M410" s="121">
        <f ca="1" t="shared" si="13"/>
        <v>31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12"/>
        <v>46134</v>
      </c>
      <c r="M411" s="121">
        <f ca="1" t="shared" si="13"/>
        <v>31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12"/>
        <v>46134</v>
      </c>
      <c r="M412" s="121">
        <f ca="1" t="shared" si="13"/>
        <v>31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12"/>
        <v>46134</v>
      </c>
      <c r="M413" s="121">
        <f ca="1" t="shared" si="13"/>
        <v>31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12"/>
        <v>46134</v>
      </c>
      <c r="M414" s="121">
        <f ca="1" t="shared" si="13"/>
        <v>31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12"/>
        <v>#VALUE!</v>
      </c>
      <c r="M415" s="121" t="e">
        <f ca="1" t="shared" si="13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12"/>
        <v>#VALUE!</v>
      </c>
      <c r="M416" s="121" t="e">
        <f ca="1" t="shared" si="13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12"/>
        <v>#VALUE!</v>
      </c>
      <c r="M417" s="121" t="e">
        <f ca="1" t="shared" si="13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12"/>
        <v>46134</v>
      </c>
      <c r="M418" s="121">
        <f ca="1" t="shared" si="13"/>
        <v>31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12"/>
        <v>46134</v>
      </c>
      <c r="M419" s="121">
        <f ca="1" t="shared" si="13"/>
        <v>31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12"/>
        <v>46134</v>
      </c>
      <c r="M420" s="121">
        <f ca="1" t="shared" si="13"/>
        <v>31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12"/>
        <v>46134</v>
      </c>
      <c r="M421" s="121">
        <f ca="1" t="shared" si="13"/>
        <v>31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12"/>
        <v>46134</v>
      </c>
      <c r="M422" s="121">
        <f ca="1" t="shared" si="13"/>
        <v>31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12"/>
        <v>46134</v>
      </c>
      <c r="M423" s="121">
        <f ca="1" t="shared" si="13"/>
        <v>31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12"/>
        <v>46134</v>
      </c>
      <c r="M424" s="121">
        <f ca="1" t="shared" si="13"/>
        <v>31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12"/>
        <v>46134</v>
      </c>
      <c r="M425" s="121">
        <f ca="1" t="shared" si="13"/>
        <v>31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12"/>
        <v>46134</v>
      </c>
      <c r="M426" s="121">
        <f ca="1" t="shared" si="13"/>
        <v>31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12"/>
        <v>46134</v>
      </c>
      <c r="M427" s="121">
        <f ca="1" t="shared" si="13"/>
        <v>31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12"/>
        <v>46134</v>
      </c>
      <c r="M428" s="121">
        <f ca="1" t="shared" si="13"/>
        <v>31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12"/>
        <v>46134</v>
      </c>
      <c r="M429" s="121">
        <f ca="1" t="shared" si="13"/>
        <v>31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12"/>
        <v>46134</v>
      </c>
      <c r="M430" s="121">
        <f ca="1" t="shared" si="13"/>
        <v>31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12"/>
        <v>46134</v>
      </c>
      <c r="M431" s="121">
        <f ca="1" t="shared" si="13"/>
        <v>31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12"/>
        <v>46134</v>
      </c>
      <c r="M432" s="121">
        <f ca="1" t="shared" si="13"/>
        <v>31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12"/>
        <v>46134</v>
      </c>
      <c r="M433" s="121">
        <f ca="1" t="shared" si="13"/>
        <v>31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12"/>
        <v>46134</v>
      </c>
      <c r="M434" s="121">
        <f ca="1" t="shared" si="13"/>
        <v>31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12"/>
        <v>46134</v>
      </c>
      <c r="M435" s="121">
        <f ca="1" t="shared" si="13"/>
        <v>31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si="12"/>
        <v>46135</v>
      </c>
      <c r="M436" s="121">
        <f ca="1" t="shared" si="13"/>
        <v>32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12"/>
        <v>46135</v>
      </c>
      <c r="M437" s="121">
        <f ca="1" t="shared" si="13"/>
        <v>32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12"/>
        <v>46135</v>
      </c>
      <c r="M438" s="121">
        <f ca="1" t="shared" si="13"/>
        <v>32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12"/>
        <v>46135</v>
      </c>
      <c r="M439" s="121">
        <f ca="1" t="shared" si="13"/>
        <v>32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12"/>
        <v>46135</v>
      </c>
      <c r="M440" s="121">
        <f ca="1" t="shared" si="13"/>
        <v>32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12"/>
        <v>46135</v>
      </c>
      <c r="M441" s="121">
        <f ca="1" t="shared" si="13"/>
        <v>32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12"/>
        <v>46135</v>
      </c>
      <c r="M442" s="121">
        <f ca="1" t="shared" si="13"/>
        <v>32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12"/>
        <v>46135</v>
      </c>
      <c r="M443" s="121">
        <f ca="1" t="shared" si="13"/>
        <v>32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12"/>
        <v>46135</v>
      </c>
      <c r="M444" s="121">
        <f ca="1" t="shared" si="13"/>
        <v>32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12"/>
        <v>46135</v>
      </c>
      <c r="M445" s="121">
        <f ca="1" t="shared" si="13"/>
        <v>32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12"/>
        <v>46135</v>
      </c>
      <c r="M446" s="121">
        <f ca="1" t="shared" si="13"/>
        <v>32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12"/>
        <v>46135</v>
      </c>
      <c r="M447" s="121">
        <f ca="1" t="shared" si="13"/>
        <v>32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12"/>
        <v>46135</v>
      </c>
      <c r="M448" s="121">
        <f ca="1" t="shared" si="13"/>
        <v>32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12"/>
        <v>46135</v>
      </c>
      <c r="M449" s="121">
        <f ca="1" t="shared" si="13"/>
        <v>32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si="12"/>
        <v>#VALUE!</v>
      </c>
      <c r="M450" s="121" t="e">
        <f ca="1" t="shared" si="13"/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ref="L451:L514" si="14">EDATE(I451,J451)</f>
        <v>46136</v>
      </c>
      <c r="M451" s="121">
        <f ca="1" t="shared" ref="M451:M514" si="15">L451-TODAY()</f>
        <v>33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14"/>
        <v>46136</v>
      </c>
      <c r="M452" s="121">
        <f ca="1" t="shared" si="15"/>
        <v>33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14"/>
        <v>46136</v>
      </c>
      <c r="M453" s="121">
        <f ca="1" t="shared" si="15"/>
        <v>33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14"/>
        <v>46136</v>
      </c>
      <c r="M454" s="121">
        <f ca="1" t="shared" si="15"/>
        <v>33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14"/>
        <v>46136</v>
      </c>
      <c r="M455" s="121">
        <f ca="1" t="shared" si="15"/>
        <v>33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14"/>
        <v>46136</v>
      </c>
      <c r="M456" s="121">
        <f ca="1" t="shared" si="15"/>
        <v>33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14"/>
        <v>46136</v>
      </c>
      <c r="M457" s="121">
        <f ca="1" t="shared" si="15"/>
        <v>33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14"/>
        <v>46136</v>
      </c>
      <c r="M458" s="121">
        <f ca="1" t="shared" si="15"/>
        <v>33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14"/>
        <v>46136</v>
      </c>
      <c r="M459" s="121">
        <f ca="1" t="shared" si="15"/>
        <v>33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14"/>
        <v>46136</v>
      </c>
      <c r="M460" s="121">
        <f ca="1" t="shared" si="15"/>
        <v>33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14"/>
        <v>46136</v>
      </c>
      <c r="M461" s="121">
        <f ca="1" t="shared" si="15"/>
        <v>33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14"/>
        <v>46136</v>
      </c>
      <c r="M462" s="121">
        <f ca="1" t="shared" si="15"/>
        <v>33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14"/>
        <v>46136</v>
      </c>
      <c r="M463" s="121">
        <f ca="1" t="shared" si="15"/>
        <v>33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14"/>
        <v>46136</v>
      </c>
      <c r="M464" s="121">
        <f ca="1" t="shared" si="15"/>
        <v>33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14"/>
        <v>46136</v>
      </c>
      <c r="M465" s="121">
        <f ca="1" t="shared" si="15"/>
        <v>33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14"/>
        <v>46136</v>
      </c>
      <c r="M466" s="121">
        <f ca="1" t="shared" si="15"/>
        <v>33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14"/>
        <v>46136</v>
      </c>
      <c r="M467" s="121">
        <f ca="1" t="shared" si="15"/>
        <v>33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14"/>
        <v>46136</v>
      </c>
      <c r="M468" s="121">
        <f ca="1" t="shared" si="15"/>
        <v>33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14"/>
        <v>46136</v>
      </c>
      <c r="M469" s="121">
        <f ca="1" t="shared" si="15"/>
        <v>33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si="14"/>
        <v>46136</v>
      </c>
      <c r="M470" s="121">
        <f ca="1" t="shared" si="15"/>
        <v>33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14"/>
        <v>46136</v>
      </c>
      <c r="M471" s="121">
        <f ca="1" t="shared" si="15"/>
        <v>33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14"/>
        <v>#VALUE!</v>
      </c>
      <c r="M472" s="121" t="e">
        <f ca="1" t="shared" si="15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14"/>
        <v>46136</v>
      </c>
      <c r="M473" s="121">
        <f ca="1" t="shared" si="15"/>
        <v>33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14"/>
        <v>46136</v>
      </c>
      <c r="M474" s="121">
        <f ca="1" t="shared" si="15"/>
        <v>33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14"/>
        <v>46136</v>
      </c>
      <c r="M475" s="121">
        <f ca="1" t="shared" si="15"/>
        <v>33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14"/>
        <v>46136</v>
      </c>
      <c r="M476" s="121">
        <f ca="1" t="shared" si="15"/>
        <v>33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14"/>
        <v>46136</v>
      </c>
      <c r="M477" s="121">
        <f ca="1" t="shared" si="15"/>
        <v>33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14"/>
        <v>46136</v>
      </c>
      <c r="M478" s="121">
        <f ca="1" t="shared" si="15"/>
        <v>33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14"/>
        <v>46136</v>
      </c>
      <c r="M479" s="121">
        <f ca="1" t="shared" si="15"/>
        <v>33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14"/>
        <v>46136</v>
      </c>
      <c r="M480" s="121">
        <f ca="1" t="shared" si="15"/>
        <v>33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14"/>
        <v>46136</v>
      </c>
      <c r="M481" s="121">
        <f ca="1" t="shared" si="15"/>
        <v>33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14"/>
        <v>46136</v>
      </c>
      <c r="M482" s="121">
        <f ca="1" t="shared" si="15"/>
        <v>33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14"/>
        <v>46136</v>
      </c>
      <c r="M483" s="121">
        <f ca="1" t="shared" si="15"/>
        <v>33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14"/>
        <v>46136</v>
      </c>
      <c r="M484" s="121">
        <f ca="1" t="shared" si="15"/>
        <v>33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si="14"/>
        <v>46137</v>
      </c>
      <c r="M485" s="121">
        <f ca="1" t="shared" si="15"/>
        <v>34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14"/>
        <v>46137</v>
      </c>
      <c r="M486" s="121">
        <f ca="1" t="shared" si="15"/>
        <v>34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14"/>
        <v>46137</v>
      </c>
      <c r="M487" s="121">
        <f ca="1" t="shared" si="15"/>
        <v>34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14"/>
        <v>46137</v>
      </c>
      <c r="M488" s="121">
        <f ca="1" t="shared" si="15"/>
        <v>34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14"/>
        <v>46137</v>
      </c>
      <c r="M489" s="121">
        <f ca="1" t="shared" si="15"/>
        <v>34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14"/>
        <v>46137</v>
      </c>
      <c r="M490" s="121">
        <f ca="1" t="shared" si="15"/>
        <v>34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14"/>
        <v>46137</v>
      </c>
      <c r="M491" s="121">
        <f ca="1" t="shared" si="15"/>
        <v>34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14"/>
        <v>46137</v>
      </c>
      <c r="M492" s="121">
        <f ca="1" t="shared" si="15"/>
        <v>34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14"/>
        <v>46137</v>
      </c>
      <c r="M493" s="121">
        <f ca="1" t="shared" si="15"/>
        <v>34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14"/>
        <v>46137</v>
      </c>
      <c r="M494" s="121">
        <f ca="1" t="shared" si="15"/>
        <v>34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14"/>
        <v>46137</v>
      </c>
      <c r="M495" s="121">
        <f ca="1" t="shared" si="15"/>
        <v>34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14"/>
        <v>46137</v>
      </c>
      <c r="M496" s="121">
        <f ca="1" t="shared" si="15"/>
        <v>34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14"/>
        <v>46137</v>
      </c>
      <c r="M497" s="121">
        <f ca="1" t="shared" si="15"/>
        <v>34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14"/>
        <v>46137</v>
      </c>
      <c r="M498" s="121">
        <f ca="1" t="shared" si="15"/>
        <v>34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14"/>
        <v>46137</v>
      </c>
      <c r="M499" s="121">
        <f ca="1" t="shared" si="15"/>
        <v>34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14"/>
        <v>46137</v>
      </c>
      <c r="M500" s="121">
        <f ca="1" t="shared" si="15"/>
        <v>34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si="14"/>
        <v>#VALUE!</v>
      </c>
      <c r="M501" s="121" t="e">
        <f ca="1" t="shared" si="15"/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14"/>
        <v>46138</v>
      </c>
      <c r="M502" s="121">
        <f ca="1" t="shared" si="15"/>
        <v>35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14"/>
        <v>46138</v>
      </c>
      <c r="M503" s="121">
        <f ca="1" t="shared" si="15"/>
        <v>35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14"/>
        <v>46138</v>
      </c>
      <c r="M504" s="121">
        <f ca="1" t="shared" si="15"/>
        <v>35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14"/>
        <v>46138</v>
      </c>
      <c r="M505" s="121">
        <f ca="1" t="shared" si="15"/>
        <v>35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14"/>
        <v>46138</v>
      </c>
      <c r="M506" s="121">
        <f ca="1" t="shared" si="15"/>
        <v>35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14"/>
        <v>46138</v>
      </c>
      <c r="M507" s="121">
        <f ca="1" t="shared" si="15"/>
        <v>35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14"/>
        <v>46138</v>
      </c>
      <c r="M508" s="121">
        <f ca="1" t="shared" si="15"/>
        <v>35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14"/>
        <v>46138</v>
      </c>
      <c r="M509" s="121">
        <f ca="1" t="shared" si="15"/>
        <v>35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14"/>
        <v>46138</v>
      </c>
      <c r="M510" s="121">
        <f ca="1" t="shared" si="15"/>
        <v>35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14"/>
        <v>46138</v>
      </c>
      <c r="M511" s="121">
        <f ca="1" t="shared" si="15"/>
        <v>35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14"/>
        <v>46138</v>
      </c>
      <c r="M512" s="121">
        <f ca="1" t="shared" si="15"/>
        <v>35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14"/>
        <v>#VALUE!</v>
      </c>
      <c r="M513" s="121" t="e">
        <f ca="1" t="shared" si="15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14"/>
        <v>46138</v>
      </c>
      <c r="M514" s="121">
        <f ca="1" t="shared" si="15"/>
        <v>35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ref="L515:L578" si="16">EDATE(I515,J515)</f>
        <v>46138</v>
      </c>
      <c r="M515" s="121">
        <f ca="1" t="shared" ref="M515:M578" si="17">L515-TODAY()</f>
        <v>35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16"/>
        <v>46138</v>
      </c>
      <c r="M516" s="121">
        <f ca="1" t="shared" si="17"/>
        <v>35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16"/>
        <v>46138</v>
      </c>
      <c r="M517" s="121">
        <f ca="1" t="shared" si="17"/>
        <v>35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16"/>
        <v>46139</v>
      </c>
      <c r="M518" s="121">
        <f ca="1" t="shared" si="17"/>
        <v>36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16"/>
        <v>46139</v>
      </c>
      <c r="M519" s="121">
        <f ca="1" t="shared" si="17"/>
        <v>36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16"/>
        <v>46139</v>
      </c>
      <c r="M520" s="121">
        <f ca="1" t="shared" si="17"/>
        <v>36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16"/>
        <v>46139</v>
      </c>
      <c r="M521" s="121">
        <f ca="1" t="shared" si="17"/>
        <v>36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16"/>
        <v>46139</v>
      </c>
      <c r="M522" s="121">
        <f ca="1" t="shared" si="17"/>
        <v>36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16"/>
        <v>46139</v>
      </c>
      <c r="M523" s="121">
        <f ca="1" t="shared" si="17"/>
        <v>36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16"/>
        <v>46139</v>
      </c>
      <c r="M524" s="121">
        <f ca="1" t="shared" si="17"/>
        <v>36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16"/>
        <v>46139</v>
      </c>
      <c r="M525" s="121">
        <f ca="1" t="shared" si="17"/>
        <v>36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16"/>
        <v>46139</v>
      </c>
      <c r="M526" s="121">
        <f ca="1" t="shared" si="17"/>
        <v>36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16"/>
        <v>46139</v>
      </c>
      <c r="M527" s="121">
        <f ca="1" t="shared" si="17"/>
        <v>36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16"/>
        <v>46139</v>
      </c>
      <c r="M528" s="121">
        <f ca="1" t="shared" si="17"/>
        <v>36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16"/>
        <v>#VALUE!</v>
      </c>
      <c r="M529" s="121" t="e">
        <f ca="1" t="shared" si="17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16"/>
        <v>46139</v>
      </c>
      <c r="M530" s="121">
        <f ca="1" t="shared" si="17"/>
        <v>36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16"/>
        <v>46139</v>
      </c>
      <c r="M531" s="121">
        <f ca="1" t="shared" si="17"/>
        <v>36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16"/>
        <v>46139</v>
      </c>
      <c r="M532" s="121">
        <f ca="1" t="shared" si="17"/>
        <v>36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16"/>
        <v>46139</v>
      </c>
      <c r="M533" s="121">
        <f ca="1" t="shared" si="17"/>
        <v>36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16"/>
        <v>46139</v>
      </c>
      <c r="M534" s="121">
        <f ca="1" t="shared" si="17"/>
        <v>36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si="16"/>
        <v>46140</v>
      </c>
      <c r="M535" s="121">
        <f ca="1" t="shared" si="17"/>
        <v>37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16"/>
        <v>46140</v>
      </c>
      <c r="M536" s="121">
        <f ca="1" t="shared" si="17"/>
        <v>37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16"/>
        <v>46140</v>
      </c>
      <c r="M537" s="121">
        <f ca="1" t="shared" si="17"/>
        <v>37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16"/>
        <v>46140</v>
      </c>
      <c r="M538" s="121">
        <f ca="1" t="shared" si="17"/>
        <v>37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16"/>
        <v>46140</v>
      </c>
      <c r="M539" s="121">
        <f ca="1" t="shared" si="17"/>
        <v>37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16"/>
        <v>46140</v>
      </c>
      <c r="M540" s="121">
        <f ca="1" t="shared" si="17"/>
        <v>37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16"/>
        <v>46140</v>
      </c>
      <c r="M541" s="121">
        <f ca="1" t="shared" si="17"/>
        <v>37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16"/>
        <v>46140</v>
      </c>
      <c r="M542" s="121">
        <f ca="1" t="shared" si="17"/>
        <v>37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16"/>
        <v>46140</v>
      </c>
      <c r="M543" s="121">
        <f ca="1" t="shared" si="17"/>
        <v>37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16"/>
        <v>46140</v>
      </c>
      <c r="M544" s="121">
        <f ca="1" t="shared" si="17"/>
        <v>37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16"/>
        <v>46140</v>
      </c>
      <c r="M545" s="121">
        <f ca="1" t="shared" si="17"/>
        <v>37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16"/>
        <v>46140</v>
      </c>
      <c r="M546" s="121">
        <f ca="1" t="shared" si="17"/>
        <v>37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16"/>
        <v>46140</v>
      </c>
      <c r="M547" s="121">
        <f ca="1" t="shared" si="17"/>
        <v>37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16"/>
        <v>46140</v>
      </c>
      <c r="M548" s="121">
        <f ca="1" t="shared" si="17"/>
        <v>37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16"/>
        <v>46140</v>
      </c>
      <c r="M549" s="121">
        <f ca="1" t="shared" si="17"/>
        <v>37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16"/>
        <v>46140</v>
      </c>
      <c r="M550" s="121">
        <f ca="1" t="shared" si="17"/>
        <v>37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16"/>
        <v>46140</v>
      </c>
      <c r="M551" s="121">
        <f ca="1" t="shared" si="17"/>
        <v>37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si="16"/>
        <v>#VALUE!</v>
      </c>
      <c r="M552" s="121" t="e">
        <f ca="1" t="shared" si="17"/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16"/>
        <v>#VALUE!</v>
      </c>
      <c r="M553" s="121" t="e">
        <f ca="1" t="shared" si="17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16"/>
        <v>#VALUE!</v>
      </c>
      <c r="M554" s="121" t="e">
        <f ca="1" t="shared" si="17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16"/>
        <v>46141</v>
      </c>
      <c r="M555" s="121">
        <f ca="1" t="shared" si="17"/>
        <v>38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16"/>
        <v>46141</v>
      </c>
      <c r="M556" s="121">
        <f ca="1" t="shared" si="17"/>
        <v>38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16"/>
        <v>46141</v>
      </c>
      <c r="M557" s="121">
        <f ca="1" t="shared" si="17"/>
        <v>38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16"/>
        <v>46141</v>
      </c>
      <c r="M558" s="121">
        <f ca="1" t="shared" si="17"/>
        <v>38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16"/>
        <v>46141</v>
      </c>
      <c r="M559" s="121">
        <f ca="1" t="shared" si="17"/>
        <v>38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16"/>
        <v>46141</v>
      </c>
      <c r="M560" s="121">
        <f ca="1" t="shared" si="17"/>
        <v>38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16"/>
        <v>46141</v>
      </c>
      <c r="M561" s="121">
        <f ca="1" t="shared" si="17"/>
        <v>38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16"/>
        <v>46141</v>
      </c>
      <c r="M562" s="121">
        <f ca="1" t="shared" si="17"/>
        <v>38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16"/>
        <v>46141</v>
      </c>
      <c r="M563" s="121">
        <f ca="1" t="shared" si="17"/>
        <v>38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16"/>
        <v>#VALUE!</v>
      </c>
      <c r="M564" s="121" t="e">
        <f ca="1" t="shared" si="17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16"/>
        <v>46141</v>
      </c>
      <c r="M565" s="121">
        <f ca="1" t="shared" si="17"/>
        <v>38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16"/>
        <v>46141</v>
      </c>
      <c r="M566" s="121">
        <f ca="1" t="shared" si="17"/>
        <v>38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si="16"/>
        <v>46142</v>
      </c>
      <c r="M567" s="121">
        <f ca="1" t="shared" si="17"/>
        <v>39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16"/>
        <v>46142</v>
      </c>
      <c r="M568" s="121">
        <f ca="1" t="shared" si="17"/>
        <v>39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16"/>
        <v>46142</v>
      </c>
      <c r="M569" s="121">
        <f ca="1" t="shared" si="17"/>
        <v>39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16"/>
        <v>46142</v>
      </c>
      <c r="M570" s="121">
        <f ca="1" t="shared" si="17"/>
        <v>39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16"/>
        <v>46142</v>
      </c>
      <c r="M571" s="121">
        <f ca="1" t="shared" si="17"/>
        <v>39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16"/>
        <v>46142</v>
      </c>
      <c r="M572" s="121">
        <f ca="1" t="shared" si="17"/>
        <v>39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16"/>
        <v>46142</v>
      </c>
      <c r="M573" s="121">
        <f ca="1" t="shared" si="17"/>
        <v>39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16"/>
        <v>46142</v>
      </c>
      <c r="M574" s="121">
        <f ca="1" t="shared" si="17"/>
        <v>39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16"/>
        <v>46142</v>
      </c>
      <c r="M575" s="121">
        <f ca="1" t="shared" si="17"/>
        <v>39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16"/>
        <v>46142</v>
      </c>
      <c r="M576" s="121">
        <f ca="1" t="shared" si="17"/>
        <v>39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16"/>
        <v>46142</v>
      </c>
      <c r="M577" s="121">
        <f ca="1" t="shared" si="17"/>
        <v>39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16"/>
        <v>46142</v>
      </c>
      <c r="M578" s="121">
        <f ca="1" t="shared" si="17"/>
        <v>39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ref="L579:L642" si="18">EDATE(I579,J579)</f>
        <v>46142</v>
      </c>
      <c r="M579" s="121">
        <f ca="1" t="shared" ref="M579:M642" si="19">L579-TODAY()</f>
        <v>39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18"/>
        <v>46142</v>
      </c>
      <c r="M580" s="121">
        <f ca="1" t="shared" si="19"/>
        <v>39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18"/>
        <v>#VALUE!</v>
      </c>
      <c r="M581" s="121" t="e">
        <f ca="1" t="shared" si="19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18"/>
        <v>#VALUE!</v>
      </c>
      <c r="M582" s="121" t="e">
        <f ca="1" t="shared" si="19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18"/>
        <v>#VALUE!</v>
      </c>
      <c r="M583" s="121" t="e">
        <f ca="1" t="shared" si="19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18"/>
        <v>46142</v>
      </c>
      <c r="M584" s="121">
        <f ca="1" t="shared" si="19"/>
        <v>39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18"/>
        <v>46142</v>
      </c>
      <c r="M585" s="121">
        <f ca="1" t="shared" si="19"/>
        <v>39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18"/>
        <v>46142</v>
      </c>
      <c r="M586" s="121">
        <f ca="1" t="shared" si="19"/>
        <v>39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18"/>
        <v>46142</v>
      </c>
      <c r="M587" s="121">
        <f ca="1" t="shared" si="19"/>
        <v>39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18"/>
        <v>46142</v>
      </c>
      <c r="M588" s="121">
        <f ca="1" t="shared" si="19"/>
        <v>39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18"/>
        <v>46142</v>
      </c>
      <c r="M589" s="121">
        <f ca="1" t="shared" si="19"/>
        <v>39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si="18"/>
        <v>46142</v>
      </c>
      <c r="M590" s="121">
        <f ca="1" t="shared" si="19"/>
        <v>39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18"/>
        <v>46142</v>
      </c>
      <c r="M591" s="121">
        <f ca="1" t="shared" si="19"/>
        <v>39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18"/>
        <v>46142</v>
      </c>
      <c r="M592" s="121">
        <f ca="1" t="shared" si="19"/>
        <v>39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18"/>
        <v>46142</v>
      </c>
      <c r="M593" s="121">
        <f ca="1" t="shared" si="19"/>
        <v>39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18"/>
        <v>46142</v>
      </c>
      <c r="M594" s="121">
        <f ca="1" t="shared" si="19"/>
        <v>39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18"/>
        <v>46142</v>
      </c>
      <c r="M595" s="121">
        <f ca="1" t="shared" si="19"/>
        <v>39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18"/>
        <v>46142</v>
      </c>
      <c r="M596" s="121">
        <f ca="1" t="shared" si="19"/>
        <v>39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18"/>
        <v>46142</v>
      </c>
      <c r="M597" s="121">
        <f ca="1" t="shared" si="19"/>
        <v>39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18"/>
        <v>46142</v>
      </c>
      <c r="M598" s="121">
        <f ca="1" t="shared" si="19"/>
        <v>39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18"/>
        <v>46142</v>
      </c>
      <c r="M599" s="121">
        <f ca="1" t="shared" si="19"/>
        <v>39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18"/>
        <v>46142</v>
      </c>
      <c r="M600" s="121">
        <f ca="1" t="shared" si="19"/>
        <v>39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18"/>
        <v>46142</v>
      </c>
      <c r="M601" s="121">
        <f ca="1" t="shared" si="19"/>
        <v>39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18"/>
        <v>46142</v>
      </c>
      <c r="M602" s="121">
        <f ca="1" t="shared" si="19"/>
        <v>39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18"/>
        <v>46142</v>
      </c>
      <c r="M603" s="121">
        <f ca="1" t="shared" si="19"/>
        <v>39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18"/>
        <v>46142</v>
      </c>
      <c r="M604" s="121">
        <f ca="1" t="shared" si="19"/>
        <v>39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18"/>
        <v>46142</v>
      </c>
      <c r="M605" s="121">
        <f ca="1" t="shared" si="19"/>
        <v>39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18"/>
        <v>46142</v>
      </c>
      <c r="M606" s="121">
        <f ca="1" t="shared" si="19"/>
        <v>39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18"/>
        <v>#VALUE!</v>
      </c>
      <c r="M607" s="121" t="e">
        <f ca="1" t="shared" si="1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18"/>
        <v>46142</v>
      </c>
      <c r="M608" s="121">
        <f ca="1" t="shared" si="19"/>
        <v>39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18"/>
        <v>#VALUE!</v>
      </c>
      <c r="M609" s="121" t="e">
        <f ca="1" t="shared" si="1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18"/>
        <v>46142</v>
      </c>
      <c r="M610" s="121">
        <f ca="1" t="shared" si="19"/>
        <v>39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si="18"/>
        <v>46143</v>
      </c>
      <c r="M611" s="121">
        <f ca="1" t="shared" si="19"/>
        <v>40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18"/>
        <v>46143</v>
      </c>
      <c r="M612" s="121">
        <f ca="1" t="shared" si="19"/>
        <v>40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18"/>
        <v>46143</v>
      </c>
      <c r="M613" s="121">
        <f ca="1" t="shared" si="19"/>
        <v>40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18"/>
        <v>46143</v>
      </c>
      <c r="M614" s="121">
        <f ca="1" t="shared" si="19"/>
        <v>40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18"/>
        <v>46143</v>
      </c>
      <c r="M615" s="121">
        <f ca="1" t="shared" si="19"/>
        <v>40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18"/>
        <v>46143</v>
      </c>
      <c r="M616" s="121">
        <f ca="1" t="shared" si="19"/>
        <v>40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18"/>
        <v>46143</v>
      </c>
      <c r="M617" s="121">
        <f ca="1" t="shared" si="19"/>
        <v>40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18"/>
        <v>46143</v>
      </c>
      <c r="M618" s="121">
        <f ca="1" t="shared" si="19"/>
        <v>40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18"/>
        <v>46143</v>
      </c>
      <c r="M619" s="121">
        <f ca="1" t="shared" si="19"/>
        <v>40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18"/>
        <v>46143</v>
      </c>
      <c r="M620" s="121">
        <f ca="1" t="shared" si="19"/>
        <v>40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18"/>
        <v>46143</v>
      </c>
      <c r="M621" s="121">
        <f ca="1" t="shared" si="19"/>
        <v>40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18"/>
        <v>46143</v>
      </c>
      <c r="M622" s="121">
        <f ca="1" t="shared" si="19"/>
        <v>40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18"/>
        <v>46143</v>
      </c>
      <c r="M623" s="121">
        <f ca="1" t="shared" si="19"/>
        <v>40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18"/>
        <v>46143</v>
      </c>
      <c r="M624" s="121">
        <f ca="1" t="shared" si="19"/>
        <v>40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18"/>
        <v>#VALUE!</v>
      </c>
      <c r="M625" s="121" t="e">
        <f ca="1" t="shared" si="19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18"/>
        <v>46143</v>
      </c>
      <c r="M626" s="121">
        <f ca="1" t="shared" si="19"/>
        <v>40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18"/>
        <v>#VALUE!</v>
      </c>
      <c r="M627" s="121" t="e">
        <f ca="1" t="shared" si="19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18"/>
        <v>46143</v>
      </c>
      <c r="M628" s="121">
        <f ca="1" t="shared" si="19"/>
        <v>40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18"/>
        <v>46143</v>
      </c>
      <c r="M629" s="121">
        <f ca="1" t="shared" si="19"/>
        <v>40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si="18"/>
        <v>#VALUE!</v>
      </c>
      <c r="M630" s="121" t="e">
        <f ca="1" t="shared" si="19"/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>
        <v>629</v>
      </c>
      <c r="B631" s="73" t="s">
        <v>169</v>
      </c>
      <c r="C631" s="73" t="s">
        <v>158</v>
      </c>
      <c r="D631" s="74" t="s">
        <v>749</v>
      </c>
      <c r="E631" s="79" t="s">
        <v>221</v>
      </c>
      <c r="F631" s="80"/>
      <c r="G631" s="81"/>
      <c r="H631" s="82"/>
      <c r="I631" s="118">
        <v>46054</v>
      </c>
      <c r="J631" s="118" t="s">
        <v>473</v>
      </c>
      <c r="K631" s="122"/>
      <c r="L631" s="120" t="e">
        <f t="shared" si="18"/>
        <v>#VALUE!</v>
      </c>
      <c r="M631" s="121" t="e">
        <f ca="1" t="shared" si="19"/>
        <v>#VALUE!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1488</v>
      </c>
      <c r="E632" s="79" t="s">
        <v>19</v>
      </c>
      <c r="F632" s="80"/>
      <c r="G632" s="81"/>
      <c r="H632" s="82"/>
      <c r="I632" s="118">
        <v>46055</v>
      </c>
      <c r="J632" s="73">
        <v>3</v>
      </c>
      <c r="K632" s="122" t="s">
        <v>1489</v>
      </c>
      <c r="L632" s="120">
        <f t="shared" si="18"/>
        <v>46144</v>
      </c>
      <c r="M632" s="121">
        <f ca="1" t="shared" si="19"/>
        <v>41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7" customHeight="1" spans="1:52">
      <c r="A633" s="73">
        <v>631</v>
      </c>
      <c r="B633" s="73" t="s">
        <v>140</v>
      </c>
      <c r="C633" s="73" t="s">
        <v>13</v>
      </c>
      <c r="D633" s="74" t="s">
        <v>1490</v>
      </c>
      <c r="E633" s="79" t="s">
        <v>78</v>
      </c>
      <c r="F633" s="80"/>
      <c r="G633" s="81"/>
      <c r="H633" s="82"/>
      <c r="I633" s="118">
        <v>46055</v>
      </c>
      <c r="J633" s="73">
        <v>3</v>
      </c>
      <c r="K633" s="122" t="s">
        <v>1491</v>
      </c>
      <c r="L633" s="120">
        <f t="shared" si="18"/>
        <v>46144</v>
      </c>
      <c r="M633" s="121">
        <f ca="1" t="shared" si="19"/>
        <v>41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6" customHeight="1" spans="1:52">
      <c r="A634" s="73">
        <v>632</v>
      </c>
      <c r="B634" s="73" t="s">
        <v>140</v>
      </c>
      <c r="C634" s="73" t="s">
        <v>13</v>
      </c>
      <c r="D634" s="74" t="s">
        <v>1492</v>
      </c>
      <c r="E634" s="79" t="s">
        <v>47</v>
      </c>
      <c r="F634" s="80"/>
      <c r="G634" s="81"/>
      <c r="H634" s="82"/>
      <c r="I634" s="118">
        <v>46055</v>
      </c>
      <c r="J634" s="73">
        <v>3</v>
      </c>
      <c r="K634" s="122" t="s">
        <v>1493</v>
      </c>
      <c r="L634" s="120">
        <f t="shared" si="18"/>
        <v>46144</v>
      </c>
      <c r="M634" s="121">
        <f ca="1" t="shared" si="19"/>
        <v>41</v>
      </c>
      <c r="N634" s="73"/>
      <c r="O634" s="73"/>
      <c r="P634" s="73"/>
      <c r="Q634" s="74"/>
      <c r="R634" s="79"/>
      <c r="S634" s="80"/>
      <c r="T634" s="81"/>
      <c r="U634" s="7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7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1494</v>
      </c>
      <c r="C635" s="73" t="s">
        <v>27</v>
      </c>
      <c r="D635" s="74" t="s">
        <v>1495</v>
      </c>
      <c r="E635" s="79" t="s">
        <v>1169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1496</v>
      </c>
      <c r="L635" s="120">
        <f t="shared" si="18"/>
        <v>46144</v>
      </c>
      <c r="M635" s="121">
        <f ca="1" t="shared" si="19"/>
        <v>41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ht="20" customHeight="1" spans="1:52">
      <c r="A636" s="73">
        <v>634</v>
      </c>
      <c r="B636" s="73" t="s">
        <v>1497</v>
      </c>
      <c r="C636" s="73" t="s">
        <v>13</v>
      </c>
      <c r="D636" s="74" t="s">
        <v>1498</v>
      </c>
      <c r="E636" s="79" t="s">
        <v>25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1499</v>
      </c>
      <c r="L636" s="120">
        <f t="shared" si="18"/>
        <v>46144</v>
      </c>
      <c r="M636" s="121">
        <f ca="1" t="shared" si="19"/>
        <v>41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13</v>
      </c>
      <c r="D637" s="74" t="s">
        <v>1500</v>
      </c>
      <c r="E637" s="79" t="s">
        <v>1501</v>
      </c>
      <c r="F637" s="80"/>
      <c r="G637" s="81"/>
      <c r="H637" s="158" t="s">
        <v>16</v>
      </c>
      <c r="I637" s="118">
        <v>46055</v>
      </c>
      <c r="J637" s="73">
        <v>3</v>
      </c>
      <c r="K637" s="122" t="s">
        <v>1502</v>
      </c>
      <c r="L637" s="120">
        <f t="shared" si="18"/>
        <v>46144</v>
      </c>
      <c r="M637" s="121">
        <f ca="1" t="shared" si="19"/>
        <v>41</v>
      </c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1503</v>
      </c>
      <c r="E638" s="79" t="s">
        <v>1504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1505</v>
      </c>
      <c r="L638" s="120">
        <f t="shared" si="18"/>
        <v>46144</v>
      </c>
      <c r="M638" s="121">
        <f ca="1" t="shared" si="19"/>
        <v>41</v>
      </c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1497</v>
      </c>
      <c r="C639" s="73" t="s">
        <v>27</v>
      </c>
      <c r="D639" s="74" t="s">
        <v>1506</v>
      </c>
      <c r="E639" s="79" t="s">
        <v>1507</v>
      </c>
      <c r="F639" s="80"/>
      <c r="G639" s="81"/>
      <c r="H639" s="78" t="s">
        <v>16</v>
      </c>
      <c r="I639" s="118">
        <v>46055</v>
      </c>
      <c r="J639" s="73">
        <v>3</v>
      </c>
      <c r="K639" s="122" t="s">
        <v>1508</v>
      </c>
      <c r="L639" s="120">
        <f t="shared" si="18"/>
        <v>46144</v>
      </c>
      <c r="M639" s="121">
        <f ca="1" t="shared" si="19"/>
        <v>41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12</v>
      </c>
      <c r="C640" s="73" t="s">
        <v>13</v>
      </c>
      <c r="D640" s="74" t="s">
        <v>1509</v>
      </c>
      <c r="E640" s="79" t="s">
        <v>25</v>
      </c>
      <c r="F640" s="80"/>
      <c r="G640" s="81"/>
      <c r="H640" s="78" t="s">
        <v>16</v>
      </c>
      <c r="I640" s="118">
        <v>46056</v>
      </c>
      <c r="J640" s="73">
        <v>3</v>
      </c>
      <c r="K640" s="122" t="s">
        <v>1510</v>
      </c>
      <c r="L640" s="120">
        <f t="shared" si="18"/>
        <v>46145</v>
      </c>
      <c r="M640" s="121">
        <f ca="1" t="shared" si="19"/>
        <v>42</v>
      </c>
      <c r="N640" s="73"/>
      <c r="O640" s="73"/>
      <c r="P640" s="73"/>
      <c r="Q640" s="74"/>
      <c r="R640" s="79"/>
      <c r="S640" s="80"/>
      <c r="T640" s="81"/>
      <c r="U640" s="15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158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158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1511</v>
      </c>
      <c r="E641" s="79" t="s">
        <v>71</v>
      </c>
      <c r="F641" s="80"/>
      <c r="G641" s="81"/>
      <c r="H641" s="82"/>
      <c r="I641" s="118">
        <v>46056</v>
      </c>
      <c r="J641" s="73">
        <v>3</v>
      </c>
      <c r="K641" s="122" t="s">
        <v>1512</v>
      </c>
      <c r="L641" s="120">
        <f t="shared" si="18"/>
        <v>46145</v>
      </c>
      <c r="M641" s="121">
        <f ca="1" t="shared" si="19"/>
        <v>42</v>
      </c>
      <c r="N641" s="73"/>
      <c r="O641" s="73"/>
      <c r="P641" s="73"/>
      <c r="Q641" s="74"/>
      <c r="R641" s="79"/>
      <c r="S641" s="80"/>
      <c r="T641" s="81"/>
      <c r="U641" s="89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1513</v>
      </c>
      <c r="E642" s="79" t="s">
        <v>1514</v>
      </c>
      <c r="F642" s="80"/>
      <c r="G642" s="81"/>
      <c r="H642" s="89" t="s">
        <v>16</v>
      </c>
      <c r="I642" s="118">
        <v>46056</v>
      </c>
      <c r="J642" s="73">
        <v>3</v>
      </c>
      <c r="K642" s="122" t="s">
        <v>1515</v>
      </c>
      <c r="L642" s="120">
        <f t="shared" si="18"/>
        <v>46145</v>
      </c>
      <c r="M642" s="121">
        <f ca="1" t="shared" si="19"/>
        <v>42</v>
      </c>
      <c r="N642" s="73"/>
      <c r="O642" s="73"/>
      <c r="P642" s="73"/>
      <c r="Q642" s="74"/>
      <c r="R642" s="79"/>
      <c r="S642" s="80"/>
      <c r="T642" s="81"/>
      <c r="U642" s="130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1516</v>
      </c>
      <c r="E643" s="79" t="s">
        <v>1517</v>
      </c>
      <c r="F643" s="80"/>
      <c r="G643" s="81"/>
      <c r="H643" s="82"/>
      <c r="I643" s="118">
        <v>46056</v>
      </c>
      <c r="J643" s="73">
        <v>3</v>
      </c>
      <c r="K643" s="122" t="s">
        <v>1518</v>
      </c>
      <c r="L643" s="120">
        <f t="shared" ref="L643:L706" si="20">EDATE(I643,J643)</f>
        <v>46145</v>
      </c>
      <c r="M643" s="121">
        <f ca="1" t="shared" ref="M643:M706" si="21">L643-TODAY()</f>
        <v>42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140</v>
      </c>
      <c r="C644" s="73" t="s">
        <v>13</v>
      </c>
      <c r="D644" s="74" t="s">
        <v>1519</v>
      </c>
      <c r="E644" s="79" t="s">
        <v>1520</v>
      </c>
      <c r="F644" s="80"/>
      <c r="G644" s="81"/>
      <c r="H644" s="82"/>
      <c r="I644" s="118">
        <v>46056</v>
      </c>
      <c r="J644" s="73">
        <v>3</v>
      </c>
      <c r="K644" s="122" t="s">
        <v>1521</v>
      </c>
      <c r="L644" s="120">
        <f t="shared" si="20"/>
        <v>46145</v>
      </c>
      <c r="M644" s="121">
        <f ca="1" t="shared" si="21"/>
        <v>42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349</v>
      </c>
      <c r="C645" s="73" t="s">
        <v>13</v>
      </c>
      <c r="D645" s="74" t="s">
        <v>1522</v>
      </c>
      <c r="E645" s="79" t="s">
        <v>90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1523</v>
      </c>
      <c r="L645" s="120">
        <f t="shared" si="20"/>
        <v>46145</v>
      </c>
      <c r="M645" s="121">
        <f ca="1" t="shared" si="21"/>
        <v>42</v>
      </c>
      <c r="N645" s="73"/>
      <c r="O645" s="73"/>
      <c r="P645" s="73"/>
      <c r="Q645" s="74"/>
      <c r="R645" s="79"/>
      <c r="S645" s="80"/>
      <c r="T645" s="81"/>
      <c r="U645" s="78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78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13</v>
      </c>
      <c r="D646" s="74" t="s">
        <v>1524</v>
      </c>
      <c r="E646" s="79" t="s">
        <v>32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1525</v>
      </c>
      <c r="L646" s="120">
        <f t="shared" si="20"/>
        <v>46145</v>
      </c>
      <c r="M646" s="121">
        <f ca="1" t="shared" si="21"/>
        <v>42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37</v>
      </c>
      <c r="C647" s="73" t="s">
        <v>27</v>
      </c>
      <c r="D647" s="74" t="s">
        <v>1526</v>
      </c>
      <c r="E647" s="79" t="s">
        <v>318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1527</v>
      </c>
      <c r="L647" s="120">
        <f t="shared" si="20"/>
        <v>46145</v>
      </c>
      <c r="M647" s="121">
        <f ca="1" t="shared" si="21"/>
        <v>42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73"/>
      <c r="AP647" s="73"/>
      <c r="AQ647" s="74"/>
      <c r="AR647" s="79"/>
      <c r="AS647" s="80"/>
      <c r="AT647" s="81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1528</v>
      </c>
      <c r="C648" s="73" t="s">
        <v>13</v>
      </c>
      <c r="D648" s="74" t="s">
        <v>1529</v>
      </c>
      <c r="E648" s="79" t="s">
        <v>1530</v>
      </c>
      <c r="F648" s="80"/>
      <c r="G648" s="81"/>
      <c r="H648" s="78" t="s">
        <v>16</v>
      </c>
      <c r="I648" s="118">
        <v>46056</v>
      </c>
      <c r="J648" s="73">
        <v>3</v>
      </c>
      <c r="K648" s="122" t="s">
        <v>1531</v>
      </c>
      <c r="L648" s="120">
        <f t="shared" si="20"/>
        <v>46145</v>
      </c>
      <c r="M648" s="121">
        <f ca="1" t="shared" si="21"/>
        <v>42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1163</v>
      </c>
      <c r="C649" s="73" t="s">
        <v>158</v>
      </c>
      <c r="D649" s="74" t="s">
        <v>589</v>
      </c>
      <c r="E649" s="79" t="s">
        <v>471</v>
      </c>
      <c r="F649" s="80"/>
      <c r="G649" s="81"/>
      <c r="H649" s="82"/>
      <c r="I649" s="118">
        <v>46056</v>
      </c>
      <c r="J649" s="118" t="s">
        <v>473</v>
      </c>
      <c r="K649" s="122" t="s">
        <v>1532</v>
      </c>
      <c r="L649" s="120" t="e">
        <f t="shared" si="20"/>
        <v>#VALUE!</v>
      </c>
      <c r="M649" s="121" t="e">
        <f ca="1" t="shared" si="21"/>
        <v>#VALUE!</v>
      </c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1533</v>
      </c>
      <c r="E650" s="79" t="s">
        <v>1534</v>
      </c>
      <c r="F650" s="80"/>
      <c r="G650" s="81"/>
      <c r="H650" s="82"/>
      <c r="I650" s="118">
        <v>46056</v>
      </c>
      <c r="J650" s="73">
        <v>3</v>
      </c>
      <c r="K650" s="122" t="s">
        <v>1535</v>
      </c>
      <c r="L650" s="120">
        <f t="shared" si="20"/>
        <v>46145</v>
      </c>
      <c r="M650" s="121">
        <f ca="1" t="shared" si="21"/>
        <v>42</v>
      </c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1536</v>
      </c>
      <c r="E651" s="79" t="s">
        <v>1537</v>
      </c>
      <c r="F651" s="80"/>
      <c r="G651" s="81"/>
      <c r="H651" s="82"/>
      <c r="I651" s="118">
        <v>46056</v>
      </c>
      <c r="J651" s="73">
        <v>3</v>
      </c>
      <c r="K651" s="122" t="s">
        <v>1538</v>
      </c>
      <c r="L651" s="120">
        <f t="shared" si="20"/>
        <v>46145</v>
      </c>
      <c r="M651" s="121">
        <f ca="1" t="shared" si="21"/>
        <v>42</v>
      </c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175</v>
      </c>
      <c r="E652" s="79" t="s">
        <v>1539</v>
      </c>
      <c r="F652" s="80"/>
      <c r="G652" s="81"/>
      <c r="H652" s="82"/>
      <c r="I652" s="118">
        <v>46056</v>
      </c>
      <c r="J652" s="118" t="s">
        <v>473</v>
      </c>
      <c r="K652" s="122" t="s">
        <v>1540</v>
      </c>
      <c r="L652" s="120" t="e">
        <f t="shared" si="20"/>
        <v>#VALUE!</v>
      </c>
      <c r="M652" s="121" t="e">
        <f ca="1" t="shared" si="21"/>
        <v>#VALUE!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78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169</v>
      </c>
      <c r="C653" s="73" t="s">
        <v>158</v>
      </c>
      <c r="D653" s="74" t="s">
        <v>1541</v>
      </c>
      <c r="E653" s="79" t="s">
        <v>1542</v>
      </c>
      <c r="F653" s="80"/>
      <c r="G653" s="81"/>
      <c r="H653" s="82"/>
      <c r="I653" s="118">
        <v>46056</v>
      </c>
      <c r="J653" s="73">
        <v>3</v>
      </c>
      <c r="K653" s="122" t="s">
        <v>1543</v>
      </c>
      <c r="L653" s="120">
        <f t="shared" si="20"/>
        <v>46145</v>
      </c>
      <c r="M653" s="121">
        <f ca="1" t="shared" si="21"/>
        <v>42</v>
      </c>
      <c r="N653" s="73"/>
      <c r="O653" s="73"/>
      <c r="P653" s="73"/>
      <c r="Q653" s="74"/>
      <c r="R653" s="79"/>
      <c r="S653" s="80"/>
      <c r="T653" s="81"/>
      <c r="U653" s="78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>
        <v>652</v>
      </c>
      <c r="B654" s="73" t="s">
        <v>49</v>
      </c>
      <c r="C654" s="73" t="s">
        <v>27</v>
      </c>
      <c r="D654" s="74" t="s">
        <v>821</v>
      </c>
      <c r="E654" s="79" t="s">
        <v>822</v>
      </c>
      <c r="F654" s="80"/>
      <c r="G654" s="81"/>
      <c r="H654" s="82"/>
      <c r="I654" s="118">
        <v>46056</v>
      </c>
      <c r="J654" s="73">
        <v>3</v>
      </c>
      <c r="K654" s="122" t="s">
        <v>1544</v>
      </c>
      <c r="L654" s="120">
        <f t="shared" si="20"/>
        <v>46145</v>
      </c>
      <c r="M654" s="121">
        <f ca="1" t="shared" si="21"/>
        <v>42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>
        <v>653</v>
      </c>
      <c r="B655" s="73" t="s">
        <v>462</v>
      </c>
      <c r="C655" s="73" t="s">
        <v>13</v>
      </c>
      <c r="D655" s="74" t="s">
        <v>1545</v>
      </c>
      <c r="E655" s="79" t="s">
        <v>32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1546</v>
      </c>
      <c r="L655" s="120">
        <f t="shared" si="20"/>
        <v>46145</v>
      </c>
      <c r="M655" s="121">
        <f ca="1" t="shared" si="21"/>
        <v>42</v>
      </c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1547</v>
      </c>
      <c r="E656" s="79" t="s">
        <v>71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1548</v>
      </c>
      <c r="L656" s="120">
        <f t="shared" si="20"/>
        <v>46145</v>
      </c>
      <c r="M656" s="121">
        <f ca="1" t="shared" si="21"/>
        <v>42</v>
      </c>
      <c r="N656" s="73"/>
      <c r="O656" s="73"/>
      <c r="P656" s="73"/>
      <c r="Q656" s="74"/>
      <c r="R656" s="79"/>
      <c r="S656" s="80"/>
      <c r="T656" s="81"/>
      <c r="U656" s="130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462</v>
      </c>
      <c r="C657" s="73" t="s">
        <v>13</v>
      </c>
      <c r="D657" s="74" t="s">
        <v>1549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1550</v>
      </c>
      <c r="L657" s="120">
        <f t="shared" si="20"/>
        <v>46145</v>
      </c>
      <c r="M657" s="121">
        <f ca="1" t="shared" si="21"/>
        <v>42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>
        <v>656</v>
      </c>
      <c r="B658" s="73" t="s">
        <v>314</v>
      </c>
      <c r="C658" s="73" t="s">
        <v>13</v>
      </c>
      <c r="D658" s="74" t="s">
        <v>1551</v>
      </c>
      <c r="E658" s="79" t="s">
        <v>32</v>
      </c>
      <c r="F658" s="80"/>
      <c r="G658" s="81"/>
      <c r="H658" s="130" t="s">
        <v>16</v>
      </c>
      <c r="I658" s="118">
        <v>46056</v>
      </c>
      <c r="J658" s="73">
        <v>3</v>
      </c>
      <c r="K658" s="122" t="s">
        <v>1552</v>
      </c>
      <c r="L658" s="120">
        <f t="shared" si="20"/>
        <v>46145</v>
      </c>
      <c r="M658" s="121">
        <f ca="1" t="shared" si="21"/>
        <v>42</v>
      </c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140</v>
      </c>
      <c r="C659" s="73" t="s">
        <v>27</v>
      </c>
      <c r="D659" s="74" t="s">
        <v>1553</v>
      </c>
      <c r="E659" s="79" t="s">
        <v>118</v>
      </c>
      <c r="F659" s="80"/>
      <c r="G659" s="81"/>
      <c r="H659" s="204"/>
      <c r="I659" s="118">
        <v>46057</v>
      </c>
      <c r="J659" s="73">
        <v>3</v>
      </c>
      <c r="K659" s="122" t="s">
        <v>1554</v>
      </c>
      <c r="L659" s="120">
        <f t="shared" si="20"/>
        <v>46146</v>
      </c>
      <c r="M659" s="121">
        <f ca="1" t="shared" si="21"/>
        <v>43</v>
      </c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852</v>
      </c>
      <c r="C660" s="73" t="s">
        <v>27</v>
      </c>
      <c r="D660" s="74" t="s">
        <v>1555</v>
      </c>
      <c r="E660" s="79" t="s">
        <v>988</v>
      </c>
      <c r="F660" s="80"/>
      <c r="G660" s="81"/>
      <c r="H660" s="204"/>
      <c r="I660" s="118">
        <v>46057</v>
      </c>
      <c r="J660" s="73">
        <v>3</v>
      </c>
      <c r="K660" s="122" t="s">
        <v>1556</v>
      </c>
      <c r="L660" s="120">
        <f t="shared" si="20"/>
        <v>46146</v>
      </c>
      <c r="M660" s="121">
        <f ca="1" t="shared" si="21"/>
        <v>43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223</v>
      </c>
      <c r="C661" s="73" t="s">
        <v>158</v>
      </c>
      <c r="D661" s="74" t="s">
        <v>224</v>
      </c>
      <c r="E661" s="79" t="s">
        <v>225</v>
      </c>
      <c r="F661" s="80"/>
      <c r="G661" s="81"/>
      <c r="H661" s="204"/>
      <c r="I661" s="118">
        <v>46057</v>
      </c>
      <c r="J661" s="118" t="s">
        <v>473</v>
      </c>
      <c r="K661" s="122"/>
      <c r="L661" s="120" t="e">
        <f t="shared" si="20"/>
        <v>#VALUE!</v>
      </c>
      <c r="M661" s="121" t="e">
        <f ca="1" t="shared" si="21"/>
        <v>#VALUE!</v>
      </c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753</v>
      </c>
      <c r="C662" s="73" t="s">
        <v>158</v>
      </c>
      <c r="D662" s="74" t="s">
        <v>1557</v>
      </c>
      <c r="E662" s="79" t="s">
        <v>158</v>
      </c>
      <c r="F662" s="80"/>
      <c r="G662" s="81"/>
      <c r="H662" s="204"/>
      <c r="I662" s="118">
        <v>46057</v>
      </c>
      <c r="J662" s="73">
        <v>3</v>
      </c>
      <c r="K662" s="122" t="s">
        <v>1558</v>
      </c>
      <c r="L662" s="120">
        <f t="shared" si="20"/>
        <v>46146</v>
      </c>
      <c r="M662" s="121">
        <f ca="1" t="shared" si="21"/>
        <v>43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7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162</v>
      </c>
      <c r="C663" s="73" t="s">
        <v>158</v>
      </c>
      <c r="D663" s="74" t="s">
        <v>585</v>
      </c>
      <c r="E663" s="79" t="s">
        <v>1559</v>
      </c>
      <c r="F663" s="80"/>
      <c r="G663" s="81"/>
      <c r="H663" s="204"/>
      <c r="I663" s="118">
        <v>46057</v>
      </c>
      <c r="J663" s="118" t="s">
        <v>473</v>
      </c>
      <c r="K663" s="122"/>
      <c r="L663" s="120" t="e">
        <f t="shared" si="20"/>
        <v>#VALUE!</v>
      </c>
      <c r="M663" s="121" t="e">
        <f ca="1" t="shared" si="21"/>
        <v>#VALUE!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1562</v>
      </c>
      <c r="F664" s="80"/>
      <c r="G664" s="81"/>
      <c r="H664" s="204"/>
      <c r="I664" s="118">
        <v>46057</v>
      </c>
      <c r="J664" s="73">
        <v>3</v>
      </c>
      <c r="K664" s="122" t="s">
        <v>1563</v>
      </c>
      <c r="L664" s="120">
        <f t="shared" si="20"/>
        <v>46146</v>
      </c>
      <c r="M664" s="121">
        <f ca="1" t="shared" si="21"/>
        <v>43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1564</v>
      </c>
      <c r="C665" s="73" t="s">
        <v>158</v>
      </c>
      <c r="D665" s="74" t="s">
        <v>1565</v>
      </c>
      <c r="E665" s="79" t="s">
        <v>221</v>
      </c>
      <c r="F665" s="80"/>
      <c r="G665" s="81"/>
      <c r="H665" s="204"/>
      <c r="I665" s="118">
        <v>46057</v>
      </c>
      <c r="J665" s="73">
        <v>3</v>
      </c>
      <c r="K665" s="122" t="s">
        <v>1566</v>
      </c>
      <c r="L665" s="120">
        <f t="shared" si="20"/>
        <v>46146</v>
      </c>
      <c r="M665" s="121">
        <f ca="1" t="shared" si="21"/>
        <v>43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162</v>
      </c>
      <c r="C666" s="73" t="s">
        <v>158</v>
      </c>
      <c r="D666" s="74" t="s">
        <v>591</v>
      </c>
      <c r="E666" s="79" t="s">
        <v>225</v>
      </c>
      <c r="F666" s="80"/>
      <c r="G666" s="81"/>
      <c r="H666" s="204"/>
      <c r="I666" s="118">
        <v>46057</v>
      </c>
      <c r="J666" s="118" t="s">
        <v>473</v>
      </c>
      <c r="K666" s="122" t="s">
        <v>1567</v>
      </c>
      <c r="L666" s="120" t="e">
        <f t="shared" si="20"/>
        <v>#VALUE!</v>
      </c>
      <c r="M666" s="121" t="e">
        <f ca="1" t="shared" si="21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395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20"/>
        <v>#VALUE!</v>
      </c>
      <c r="M667" s="121" t="e">
        <f ca="1" t="shared" si="21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157</v>
      </c>
      <c r="C668" s="73" t="s">
        <v>158</v>
      </c>
      <c r="D668" s="74" t="s">
        <v>159</v>
      </c>
      <c r="E668" s="79" t="s">
        <v>160</v>
      </c>
      <c r="F668" s="80"/>
      <c r="G668" s="81"/>
      <c r="H668" s="204"/>
      <c r="I668" s="118">
        <v>46057</v>
      </c>
      <c r="J668" s="118" t="s">
        <v>473</v>
      </c>
      <c r="K668" s="122"/>
      <c r="L668" s="120" t="e">
        <f t="shared" si="20"/>
        <v>#VALUE!</v>
      </c>
      <c r="M668" s="121" t="e">
        <f ca="1" t="shared" si="21"/>
        <v>#VALUE!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1568</v>
      </c>
      <c r="E669" s="79" t="s">
        <v>815</v>
      </c>
      <c r="F669" s="80"/>
      <c r="G669" s="81"/>
      <c r="H669" s="78" t="s">
        <v>16</v>
      </c>
      <c r="I669" s="118">
        <v>46058</v>
      </c>
      <c r="J669" s="73">
        <v>3</v>
      </c>
      <c r="K669" s="122" t="s">
        <v>1569</v>
      </c>
      <c r="L669" s="120">
        <f t="shared" si="20"/>
        <v>46147</v>
      </c>
      <c r="M669" s="121">
        <f ca="1" t="shared" si="21"/>
        <v>44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82</v>
      </c>
      <c r="C670" s="73" t="s">
        <v>27</v>
      </c>
      <c r="D670" s="74" t="s">
        <v>1570</v>
      </c>
      <c r="E670" s="79" t="s">
        <v>90</v>
      </c>
      <c r="F670" s="80"/>
      <c r="G670" s="81"/>
      <c r="H670" s="82"/>
      <c r="I670" s="118">
        <v>46058</v>
      </c>
      <c r="J670" s="73">
        <v>3</v>
      </c>
      <c r="K670" s="122" t="s">
        <v>1571</v>
      </c>
      <c r="L670" s="120">
        <f t="shared" si="20"/>
        <v>46147</v>
      </c>
      <c r="M670" s="121">
        <f ca="1" t="shared" si="21"/>
        <v>44</v>
      </c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349</v>
      </c>
      <c r="C671" s="73" t="s">
        <v>27</v>
      </c>
      <c r="D671" s="74" t="s">
        <v>1572</v>
      </c>
      <c r="E671" s="79" t="s">
        <v>318</v>
      </c>
      <c r="F671" s="80"/>
      <c r="G671" s="81"/>
      <c r="H671" s="78" t="s">
        <v>16</v>
      </c>
      <c r="I671" s="118">
        <v>46058</v>
      </c>
      <c r="J671" s="73">
        <v>3</v>
      </c>
      <c r="K671" s="122" t="s">
        <v>1573</v>
      </c>
      <c r="L671" s="120">
        <f t="shared" si="20"/>
        <v>46147</v>
      </c>
      <c r="M671" s="121">
        <f ca="1" t="shared" si="21"/>
        <v>44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>
        <v>670</v>
      </c>
      <c r="B672" s="73" t="s">
        <v>780</v>
      </c>
      <c r="C672" s="73" t="s">
        <v>27</v>
      </c>
      <c r="D672" s="74" t="s">
        <v>1574</v>
      </c>
      <c r="E672" s="79" t="s">
        <v>118</v>
      </c>
      <c r="F672" s="80"/>
      <c r="G672" s="81"/>
      <c r="H672" s="78" t="s">
        <v>16</v>
      </c>
      <c r="I672" s="118">
        <v>46058</v>
      </c>
      <c r="J672" s="73">
        <v>3</v>
      </c>
      <c r="K672" s="122" t="s">
        <v>1575</v>
      </c>
      <c r="L672" s="120">
        <f t="shared" si="20"/>
        <v>46147</v>
      </c>
      <c r="M672" s="121">
        <f ca="1" t="shared" si="21"/>
        <v>44</v>
      </c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>
        <v>671</v>
      </c>
      <c r="B673" s="73" t="s">
        <v>780</v>
      </c>
      <c r="C673" s="73" t="s">
        <v>27</v>
      </c>
      <c r="D673" s="94" t="s">
        <v>1576</v>
      </c>
      <c r="E673" s="79" t="s">
        <v>78</v>
      </c>
      <c r="F673" s="80"/>
      <c r="G673" s="81"/>
      <c r="H673" s="78" t="s">
        <v>16</v>
      </c>
      <c r="I673" s="118">
        <v>46058</v>
      </c>
      <c r="J673" s="73">
        <v>3</v>
      </c>
      <c r="K673" s="122" t="s">
        <v>1577</v>
      </c>
      <c r="L673" s="120">
        <f t="shared" si="20"/>
        <v>46147</v>
      </c>
      <c r="M673" s="121">
        <f ca="1" t="shared" si="21"/>
        <v>44</v>
      </c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443</v>
      </c>
      <c r="C674" s="73" t="s">
        <v>27</v>
      </c>
      <c r="D674" s="74" t="s">
        <v>1578</v>
      </c>
      <c r="E674" s="79" t="s">
        <v>1579</v>
      </c>
      <c r="F674" s="80"/>
      <c r="G674" s="81"/>
      <c r="H674" s="78" t="s">
        <v>16</v>
      </c>
      <c r="I674" s="118">
        <v>46058</v>
      </c>
      <c r="J674" s="73">
        <v>3</v>
      </c>
      <c r="K674" s="122" t="s">
        <v>1580</v>
      </c>
      <c r="L674" s="120">
        <f t="shared" si="20"/>
        <v>46147</v>
      </c>
      <c r="M674" s="121">
        <f ca="1" t="shared" si="21"/>
        <v>44</v>
      </c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1581</v>
      </c>
      <c r="C675" s="73" t="s">
        <v>13</v>
      </c>
      <c r="D675" s="74" t="s">
        <v>1582</v>
      </c>
      <c r="E675" s="79" t="s">
        <v>1583</v>
      </c>
      <c r="F675" s="80"/>
      <c r="G675" s="81"/>
      <c r="H675" s="82"/>
      <c r="I675" s="118">
        <v>46058</v>
      </c>
      <c r="J675" s="73">
        <v>3</v>
      </c>
      <c r="K675" s="122" t="s">
        <v>1584</v>
      </c>
      <c r="L675" s="120">
        <f t="shared" si="20"/>
        <v>46147</v>
      </c>
      <c r="M675" s="121">
        <f ca="1" t="shared" si="21"/>
        <v>44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1581</v>
      </c>
      <c r="C676" s="73" t="s">
        <v>13</v>
      </c>
      <c r="D676" s="74" t="s">
        <v>1585</v>
      </c>
      <c r="E676" s="79" t="s">
        <v>1586</v>
      </c>
      <c r="F676" s="80"/>
      <c r="G676" s="81"/>
      <c r="H676" s="82"/>
      <c r="I676" s="118">
        <v>46058</v>
      </c>
      <c r="J676" s="73">
        <v>3</v>
      </c>
      <c r="K676" s="122" t="s">
        <v>1587</v>
      </c>
      <c r="L676" s="120">
        <f t="shared" si="20"/>
        <v>46147</v>
      </c>
      <c r="M676" s="121">
        <f ca="1" t="shared" si="21"/>
        <v>44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1581</v>
      </c>
      <c r="C677" s="73" t="s">
        <v>27</v>
      </c>
      <c r="D677" s="74" t="s">
        <v>1588</v>
      </c>
      <c r="E677" s="79" t="s">
        <v>118</v>
      </c>
      <c r="F677" s="80"/>
      <c r="G677" s="81"/>
      <c r="H677" s="89" t="s">
        <v>16</v>
      </c>
      <c r="I677" s="118">
        <v>46058</v>
      </c>
      <c r="J677" s="73">
        <v>3</v>
      </c>
      <c r="K677" s="122" t="s">
        <v>1589</v>
      </c>
      <c r="L677" s="120">
        <f t="shared" si="20"/>
        <v>46147</v>
      </c>
      <c r="M677" s="121">
        <f ca="1" t="shared" si="21"/>
        <v>44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1163</v>
      </c>
      <c r="C678" s="73" t="s">
        <v>158</v>
      </c>
      <c r="D678" s="74" t="s">
        <v>589</v>
      </c>
      <c r="E678" s="79" t="s">
        <v>471</v>
      </c>
      <c r="F678" s="80"/>
      <c r="G678" s="81"/>
      <c r="H678" s="82"/>
      <c r="I678" s="118">
        <v>46058</v>
      </c>
      <c r="J678" s="118" t="s">
        <v>473</v>
      </c>
      <c r="K678" s="122" t="s">
        <v>1590</v>
      </c>
      <c r="L678" s="120" t="e">
        <f t="shared" si="20"/>
        <v>#VALUE!</v>
      </c>
      <c r="M678" s="121" t="e">
        <f ca="1" t="shared" si="21"/>
        <v>#VALUE!</v>
      </c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1591</v>
      </c>
      <c r="C679" s="73" t="s">
        <v>27</v>
      </c>
      <c r="D679" s="74" t="s">
        <v>1592</v>
      </c>
      <c r="E679" s="79" t="s">
        <v>1593</v>
      </c>
      <c r="F679" s="80"/>
      <c r="G679" s="81"/>
      <c r="H679" s="82"/>
      <c r="I679" s="118">
        <v>46058</v>
      </c>
      <c r="J679" s="73">
        <v>3</v>
      </c>
      <c r="K679" s="122" t="s">
        <v>1594</v>
      </c>
      <c r="L679" s="120">
        <f t="shared" si="20"/>
        <v>46147</v>
      </c>
      <c r="M679" s="121">
        <f ca="1" t="shared" si="21"/>
        <v>44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1581</v>
      </c>
      <c r="C680" s="73" t="s">
        <v>13</v>
      </c>
      <c r="D680" s="74" t="s">
        <v>1595</v>
      </c>
      <c r="E680" s="79" t="s">
        <v>78</v>
      </c>
      <c r="F680" s="80"/>
      <c r="G680" s="81"/>
      <c r="H680" s="82"/>
      <c r="I680" s="118">
        <v>46058</v>
      </c>
      <c r="J680" s="73">
        <v>3</v>
      </c>
      <c r="K680" s="122" t="s">
        <v>1596</v>
      </c>
      <c r="L680" s="120">
        <f t="shared" si="20"/>
        <v>46147</v>
      </c>
      <c r="M680" s="121">
        <f ca="1" t="shared" si="21"/>
        <v>44</v>
      </c>
      <c r="N680" s="73"/>
      <c r="O680" s="73"/>
      <c r="P680" s="73"/>
      <c r="Q680" s="74"/>
      <c r="R680" s="79"/>
      <c r="S680" s="80"/>
      <c r="T680" s="81"/>
      <c r="U680" s="82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324</v>
      </c>
      <c r="C681" s="73" t="s">
        <v>1597</v>
      </c>
      <c r="D681" s="74" t="s">
        <v>1598</v>
      </c>
      <c r="E681" s="79" t="s">
        <v>1599</v>
      </c>
      <c r="F681" s="80"/>
      <c r="G681" s="81"/>
      <c r="H681" s="82"/>
      <c r="I681" s="118">
        <v>46058</v>
      </c>
      <c r="J681" s="73">
        <v>3</v>
      </c>
      <c r="K681" s="122" t="s">
        <v>1600</v>
      </c>
      <c r="L681" s="120">
        <f t="shared" si="20"/>
        <v>46147</v>
      </c>
      <c r="M681" s="121">
        <f ca="1" t="shared" si="21"/>
        <v>44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1601</v>
      </c>
      <c r="C682" s="73" t="s">
        <v>1597</v>
      </c>
      <c r="D682" s="74" t="s">
        <v>1602</v>
      </c>
      <c r="E682" s="79" t="s">
        <v>1603</v>
      </c>
      <c r="F682" s="80"/>
      <c r="G682" s="81"/>
      <c r="H682" s="89" t="s">
        <v>16</v>
      </c>
      <c r="I682" s="118">
        <v>46058</v>
      </c>
      <c r="J682" s="73">
        <v>3</v>
      </c>
      <c r="K682" s="122" t="s">
        <v>1604</v>
      </c>
      <c r="L682" s="120">
        <f t="shared" si="20"/>
        <v>46147</v>
      </c>
      <c r="M682" s="121">
        <f ca="1" t="shared" si="21"/>
        <v>44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864</v>
      </c>
      <c r="C683" s="73" t="s">
        <v>228</v>
      </c>
      <c r="D683" s="74" t="s">
        <v>1605</v>
      </c>
      <c r="E683" s="79" t="s">
        <v>765</v>
      </c>
      <c r="F683" s="80"/>
      <c r="G683" s="81"/>
      <c r="H683" s="82"/>
      <c r="I683" s="118">
        <v>46058</v>
      </c>
      <c r="J683" s="73">
        <v>3</v>
      </c>
      <c r="K683" s="122" t="s">
        <v>1606</v>
      </c>
      <c r="L683" s="120">
        <f t="shared" si="20"/>
        <v>46147</v>
      </c>
      <c r="M683" s="121">
        <f ca="1" t="shared" si="21"/>
        <v>44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1607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 t="s">
        <v>1608</v>
      </c>
      <c r="L684" s="120">
        <f t="shared" si="20"/>
        <v>46147</v>
      </c>
      <c r="M684" s="121">
        <f ca="1" t="shared" si="21"/>
        <v>44</v>
      </c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>
        <v>683</v>
      </c>
      <c r="B685" s="73" t="s">
        <v>37</v>
      </c>
      <c r="C685" s="73" t="s">
        <v>27</v>
      </c>
      <c r="D685" s="74" t="s">
        <v>1609</v>
      </c>
      <c r="E685" s="79" t="s">
        <v>318</v>
      </c>
      <c r="F685" s="80"/>
      <c r="G685" s="81"/>
      <c r="H685" s="89" t="s">
        <v>16</v>
      </c>
      <c r="I685" s="118">
        <v>46058</v>
      </c>
      <c r="J685" s="73">
        <v>3</v>
      </c>
      <c r="K685" s="122" t="s">
        <v>1610</v>
      </c>
      <c r="L685" s="120">
        <f t="shared" si="20"/>
        <v>46147</v>
      </c>
      <c r="M685" s="121">
        <f ca="1" t="shared" si="21"/>
        <v>44</v>
      </c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5" customHeight="1" spans="1:52">
      <c r="A686" s="73">
        <v>684</v>
      </c>
      <c r="B686" s="73" t="s">
        <v>753</v>
      </c>
      <c r="C686" s="73" t="s">
        <v>158</v>
      </c>
      <c r="D686" s="74" t="s">
        <v>754</v>
      </c>
      <c r="E686" s="79" t="s">
        <v>158</v>
      </c>
      <c r="F686" s="80"/>
      <c r="G686" s="81"/>
      <c r="H686" s="82"/>
      <c r="I686" s="118">
        <v>46058</v>
      </c>
      <c r="J686" s="118" t="s">
        <v>473</v>
      </c>
      <c r="K686" s="122"/>
      <c r="L686" s="120" t="e">
        <f t="shared" si="20"/>
        <v>#VALUE!</v>
      </c>
      <c r="M686" s="121" t="e">
        <f ca="1" t="shared" si="21"/>
        <v>#VALUE!</v>
      </c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23" customHeight="1" spans="1:52">
      <c r="A687" s="73">
        <v>685</v>
      </c>
      <c r="B687" s="73" t="s">
        <v>169</v>
      </c>
      <c r="C687" s="73" t="s">
        <v>158</v>
      </c>
      <c r="D687" s="74" t="s">
        <v>1611</v>
      </c>
      <c r="E687" s="79" t="s">
        <v>221</v>
      </c>
      <c r="F687" s="80"/>
      <c r="G687" s="81"/>
      <c r="H687" s="82"/>
      <c r="I687" s="118">
        <v>46060</v>
      </c>
      <c r="J687" s="73">
        <v>3</v>
      </c>
      <c r="K687" s="122" t="s">
        <v>1612</v>
      </c>
      <c r="L687" s="120">
        <f t="shared" si="20"/>
        <v>46149</v>
      </c>
      <c r="M687" s="121">
        <f ca="1" t="shared" si="21"/>
        <v>46</v>
      </c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30" customHeight="1" spans="1:52">
      <c r="A688" s="73">
        <v>686</v>
      </c>
      <c r="B688" s="73" t="s">
        <v>162</v>
      </c>
      <c r="C688" s="73" t="s">
        <v>158</v>
      </c>
      <c r="D688" s="74" t="s">
        <v>591</v>
      </c>
      <c r="E688" s="79" t="s">
        <v>225</v>
      </c>
      <c r="F688" s="80"/>
      <c r="G688" s="81"/>
      <c r="H688" s="82"/>
      <c r="I688" s="118">
        <v>46060</v>
      </c>
      <c r="J688" s="118" t="s">
        <v>473</v>
      </c>
      <c r="K688" s="122"/>
      <c r="L688" s="120" t="e">
        <f t="shared" si="20"/>
        <v>#VALUE!</v>
      </c>
      <c r="M688" s="121" t="e">
        <f ca="1" t="shared" si="21"/>
        <v>#VALUE!</v>
      </c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25" customHeight="1" spans="1:52">
      <c r="A689" s="73">
        <v>687</v>
      </c>
      <c r="B689" s="73" t="s">
        <v>827</v>
      </c>
      <c r="C689" s="73" t="s">
        <v>13</v>
      </c>
      <c r="D689" s="74" t="s">
        <v>1613</v>
      </c>
      <c r="E689" s="79" t="s">
        <v>1614</v>
      </c>
      <c r="F689" s="80"/>
      <c r="G689" s="81"/>
      <c r="H689" s="82"/>
      <c r="I689" s="118">
        <v>46060</v>
      </c>
      <c r="J689" s="73" t="s">
        <v>473</v>
      </c>
      <c r="K689" s="122" t="s">
        <v>1615</v>
      </c>
      <c r="L689" s="120" t="e">
        <f t="shared" si="20"/>
        <v>#VALUE!</v>
      </c>
      <c r="M689" s="121" t="e">
        <f ca="1" t="shared" si="21"/>
        <v>#VALUE!</v>
      </c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827</v>
      </c>
      <c r="C690" s="73" t="s">
        <v>13</v>
      </c>
      <c r="D690" s="74" t="s">
        <v>1616</v>
      </c>
      <c r="E690" s="79" t="s">
        <v>1459</v>
      </c>
      <c r="F690" s="80"/>
      <c r="G690" s="81"/>
      <c r="H690" s="82"/>
      <c r="I690" s="118">
        <v>46060</v>
      </c>
      <c r="J690" s="73" t="s">
        <v>473</v>
      </c>
      <c r="K690" s="122" t="s">
        <v>1617</v>
      </c>
      <c r="L690" s="120" t="e">
        <f t="shared" si="20"/>
        <v>#VALUE!</v>
      </c>
      <c r="M690" s="121" t="e">
        <f ca="1" t="shared" si="21"/>
        <v>#VALUE!</v>
      </c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13</v>
      </c>
      <c r="D691" s="74" t="s">
        <v>1618</v>
      </c>
      <c r="E691" s="79" t="s">
        <v>1619</v>
      </c>
      <c r="F691" s="80"/>
      <c r="G691" s="81"/>
      <c r="H691" s="78" t="s">
        <v>16</v>
      </c>
      <c r="I691" s="118">
        <v>46060</v>
      </c>
      <c r="J691" s="73">
        <v>3</v>
      </c>
      <c r="K691" s="122" t="s">
        <v>1620</v>
      </c>
      <c r="L691" s="120">
        <f t="shared" si="20"/>
        <v>46149</v>
      </c>
      <c r="M691" s="121">
        <f ca="1" t="shared" si="21"/>
        <v>46</v>
      </c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1621</v>
      </c>
      <c r="E692" s="79" t="s">
        <v>1622</v>
      </c>
      <c r="F692" s="80"/>
      <c r="G692" s="81"/>
      <c r="H692" s="78" t="s">
        <v>16</v>
      </c>
      <c r="I692" s="118">
        <v>46060</v>
      </c>
      <c r="J692" s="73">
        <v>3</v>
      </c>
      <c r="K692" s="122" t="s">
        <v>1623</v>
      </c>
      <c r="L692" s="120">
        <f t="shared" si="20"/>
        <v>46149</v>
      </c>
      <c r="M692" s="121">
        <f ca="1" t="shared" si="21"/>
        <v>46</v>
      </c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1332</v>
      </c>
      <c r="C693" s="73" t="s">
        <v>27</v>
      </c>
      <c r="D693" s="74" t="s">
        <v>1624</v>
      </c>
      <c r="E693" s="79" t="s">
        <v>1625</v>
      </c>
      <c r="F693" s="80"/>
      <c r="G693" s="81"/>
      <c r="H693" s="78" t="s">
        <v>16</v>
      </c>
      <c r="I693" s="118">
        <v>46060</v>
      </c>
      <c r="J693" s="73">
        <v>3</v>
      </c>
      <c r="K693" s="122" t="s">
        <v>1626</v>
      </c>
      <c r="L693" s="120">
        <f t="shared" si="20"/>
        <v>46149</v>
      </c>
      <c r="M693" s="121">
        <f ca="1" t="shared" si="21"/>
        <v>46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1329</v>
      </c>
      <c r="C694" s="73" t="s">
        <v>27</v>
      </c>
      <c r="D694" s="74" t="s">
        <v>1627</v>
      </c>
      <c r="E694" s="79" t="s">
        <v>1169</v>
      </c>
      <c r="F694" s="80"/>
      <c r="G694" s="81"/>
      <c r="H694" s="78" t="s">
        <v>16</v>
      </c>
      <c r="I694" s="118">
        <v>46060</v>
      </c>
      <c r="J694" s="73">
        <v>3</v>
      </c>
      <c r="K694" s="122" t="s">
        <v>1628</v>
      </c>
      <c r="L694" s="120">
        <f t="shared" si="20"/>
        <v>46149</v>
      </c>
      <c r="M694" s="121">
        <f ca="1" t="shared" si="21"/>
        <v>46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169</v>
      </c>
      <c r="C695" s="73" t="s">
        <v>158</v>
      </c>
      <c r="D695" s="74" t="s">
        <v>749</v>
      </c>
      <c r="E695" s="79" t="s">
        <v>221</v>
      </c>
      <c r="F695" s="80"/>
      <c r="G695" s="81"/>
      <c r="H695" s="82"/>
      <c r="I695" s="118">
        <v>46061</v>
      </c>
      <c r="J695" s="73" t="s">
        <v>473</v>
      </c>
      <c r="K695" s="122"/>
      <c r="L695" s="120" t="e">
        <f t="shared" si="20"/>
        <v>#VALUE!</v>
      </c>
      <c r="M695" s="121" t="e">
        <f ca="1" t="shared" si="21"/>
        <v>#VALUE!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1629</v>
      </c>
      <c r="E696" s="79" t="s">
        <v>1630</v>
      </c>
      <c r="F696" s="80"/>
      <c r="G696" s="81"/>
      <c r="H696" s="78" t="s">
        <v>16</v>
      </c>
      <c r="I696" s="118">
        <v>46061</v>
      </c>
      <c r="J696" s="73">
        <v>3</v>
      </c>
      <c r="K696" s="122" t="s">
        <v>1631</v>
      </c>
      <c r="L696" s="120">
        <f t="shared" si="20"/>
        <v>46150</v>
      </c>
      <c r="M696" s="121">
        <f ca="1" t="shared" si="21"/>
        <v>47</v>
      </c>
      <c r="N696" s="73"/>
      <c r="O696" s="73"/>
      <c r="P696" s="73"/>
      <c r="Q696" s="74"/>
      <c r="R696" s="79"/>
      <c r="S696" s="80"/>
      <c r="T696" s="81"/>
      <c r="U696" s="89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1632</v>
      </c>
      <c r="E697" s="79" t="s">
        <v>491</v>
      </c>
      <c r="F697" s="80"/>
      <c r="G697" s="81"/>
      <c r="H697" s="78" t="s">
        <v>16</v>
      </c>
      <c r="I697" s="118">
        <v>46061</v>
      </c>
      <c r="J697" s="73">
        <v>3</v>
      </c>
      <c r="K697" s="122" t="s">
        <v>1633</v>
      </c>
      <c r="L697" s="120">
        <f t="shared" si="20"/>
        <v>46150</v>
      </c>
      <c r="M697" s="121">
        <f ca="1" t="shared" si="21"/>
        <v>47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78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548</v>
      </c>
      <c r="C698" s="73" t="s">
        <v>228</v>
      </c>
      <c r="D698" s="74" t="s">
        <v>1634</v>
      </c>
      <c r="E698" s="79" t="s">
        <v>491</v>
      </c>
      <c r="F698" s="80"/>
      <c r="G698" s="81"/>
      <c r="H698" s="78" t="s">
        <v>16</v>
      </c>
      <c r="I698" s="118">
        <v>46061</v>
      </c>
      <c r="J698" s="73">
        <v>3</v>
      </c>
      <c r="K698" s="122" t="s">
        <v>1635</v>
      </c>
      <c r="L698" s="120">
        <f t="shared" si="20"/>
        <v>46150</v>
      </c>
      <c r="M698" s="121">
        <f ca="1" t="shared" si="21"/>
        <v>47</v>
      </c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548</v>
      </c>
      <c r="C699" s="73" t="s">
        <v>228</v>
      </c>
      <c r="D699" s="74" t="s">
        <v>1636</v>
      </c>
      <c r="E699" s="79" t="s">
        <v>491</v>
      </c>
      <c r="F699" s="80"/>
      <c r="G699" s="81"/>
      <c r="H699" s="78" t="s">
        <v>16</v>
      </c>
      <c r="I699" s="118">
        <v>46061</v>
      </c>
      <c r="J699" s="73">
        <v>3</v>
      </c>
      <c r="K699" s="122" t="s">
        <v>1637</v>
      </c>
      <c r="L699" s="120">
        <f t="shared" si="20"/>
        <v>46150</v>
      </c>
      <c r="M699" s="121">
        <f ca="1" t="shared" si="21"/>
        <v>47</v>
      </c>
      <c r="N699" s="73"/>
      <c r="O699" s="73"/>
      <c r="P699" s="73"/>
      <c r="Q699" s="74"/>
      <c r="R699" s="79"/>
      <c r="S699" s="80"/>
      <c r="T699" s="81"/>
      <c r="U699" s="78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ht="24" customHeight="1" spans="1:52">
      <c r="A700" s="73">
        <v>698</v>
      </c>
      <c r="B700" s="73" t="s">
        <v>1638</v>
      </c>
      <c r="C700" s="73" t="s">
        <v>228</v>
      </c>
      <c r="D700" s="74" t="s">
        <v>1639</v>
      </c>
      <c r="E700" s="79" t="s">
        <v>491</v>
      </c>
      <c r="F700" s="80"/>
      <c r="G700" s="81"/>
      <c r="H700" s="78" t="s">
        <v>16</v>
      </c>
      <c r="I700" s="118">
        <v>46061</v>
      </c>
      <c r="J700" s="73">
        <v>3</v>
      </c>
      <c r="K700" s="122" t="s">
        <v>1640</v>
      </c>
      <c r="L700" s="120">
        <f t="shared" si="20"/>
        <v>46150</v>
      </c>
      <c r="M700" s="121">
        <f ca="1" t="shared" si="21"/>
        <v>47</v>
      </c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1638</v>
      </c>
      <c r="C701" s="73" t="s">
        <v>228</v>
      </c>
      <c r="D701" s="74" t="s">
        <v>1641</v>
      </c>
      <c r="E701" s="79" t="s">
        <v>491</v>
      </c>
      <c r="F701" s="80"/>
      <c r="G701" s="81"/>
      <c r="H701" s="78" t="s">
        <v>16</v>
      </c>
      <c r="I701" s="118">
        <v>46061</v>
      </c>
      <c r="J701" s="73">
        <v>3</v>
      </c>
      <c r="K701" s="122" t="s">
        <v>1642</v>
      </c>
      <c r="L701" s="120">
        <f t="shared" si="20"/>
        <v>46150</v>
      </c>
      <c r="M701" s="121">
        <f ca="1" t="shared" si="21"/>
        <v>47</v>
      </c>
      <c r="N701" s="73"/>
      <c r="O701" s="73"/>
      <c r="P701" s="73"/>
      <c r="Q701" s="74"/>
      <c r="R701" s="79"/>
      <c r="S701" s="80"/>
      <c r="T701" s="81"/>
      <c r="U701" s="82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78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1638</v>
      </c>
      <c r="C702" s="73" t="s">
        <v>228</v>
      </c>
      <c r="D702" s="74" t="s">
        <v>1643</v>
      </c>
      <c r="E702" s="79" t="s">
        <v>491</v>
      </c>
      <c r="F702" s="80"/>
      <c r="G702" s="81"/>
      <c r="H702" s="78" t="s">
        <v>16</v>
      </c>
      <c r="I702" s="118">
        <v>46061</v>
      </c>
      <c r="J702" s="73">
        <v>3</v>
      </c>
      <c r="K702" s="122" t="s">
        <v>1644</v>
      </c>
      <c r="L702" s="120">
        <f t="shared" si="20"/>
        <v>46150</v>
      </c>
      <c r="M702" s="121">
        <f ca="1" t="shared" si="21"/>
        <v>47</v>
      </c>
      <c r="N702" s="73"/>
      <c r="O702" s="73"/>
      <c r="P702" s="73"/>
      <c r="Q702" s="74"/>
      <c r="R702" s="79"/>
      <c r="S702" s="80"/>
      <c r="T702" s="81"/>
      <c r="U702" s="89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9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1645</v>
      </c>
      <c r="C703" s="73" t="s">
        <v>228</v>
      </c>
      <c r="D703" s="74" t="s">
        <v>1646</v>
      </c>
      <c r="E703" s="79" t="s">
        <v>419</v>
      </c>
      <c r="F703" s="80"/>
      <c r="G703" s="81"/>
      <c r="H703" s="78" t="s">
        <v>16</v>
      </c>
      <c r="I703" s="118">
        <v>46061</v>
      </c>
      <c r="J703" s="73">
        <v>3</v>
      </c>
      <c r="K703" s="122" t="s">
        <v>1647</v>
      </c>
      <c r="L703" s="120">
        <f t="shared" si="20"/>
        <v>46150</v>
      </c>
      <c r="M703" s="121">
        <f ca="1" t="shared" si="21"/>
        <v>47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25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1648</v>
      </c>
      <c r="E704" s="79" t="s">
        <v>1649</v>
      </c>
      <c r="F704" s="80"/>
      <c r="G704" s="81"/>
      <c r="H704" s="78" t="s">
        <v>16</v>
      </c>
      <c r="I704" s="118">
        <v>46061</v>
      </c>
      <c r="J704" s="73">
        <v>3</v>
      </c>
      <c r="K704" s="122" t="s">
        <v>1650</v>
      </c>
      <c r="L704" s="120">
        <f t="shared" si="20"/>
        <v>46150</v>
      </c>
      <c r="M704" s="121">
        <f ca="1" t="shared" si="21"/>
        <v>47</v>
      </c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130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ht="30" customHeight="1" spans="1:52">
      <c r="A705" s="73">
        <v>703</v>
      </c>
      <c r="B705" s="73" t="s">
        <v>462</v>
      </c>
      <c r="C705" s="73" t="s">
        <v>228</v>
      </c>
      <c r="D705" s="74" t="s">
        <v>1651</v>
      </c>
      <c r="E705" s="79" t="s">
        <v>1649</v>
      </c>
      <c r="F705" s="80"/>
      <c r="G705" s="81"/>
      <c r="H705" s="78" t="s">
        <v>16</v>
      </c>
      <c r="I705" s="118">
        <v>46061</v>
      </c>
      <c r="J705" s="73">
        <v>3</v>
      </c>
      <c r="K705" s="122" t="s">
        <v>1652</v>
      </c>
      <c r="L705" s="120">
        <f t="shared" si="20"/>
        <v>46150</v>
      </c>
      <c r="M705" s="121">
        <f ca="1" t="shared" si="21"/>
        <v>47</v>
      </c>
      <c r="N705" s="73"/>
      <c r="O705" s="73"/>
      <c r="P705" s="73"/>
      <c r="Q705" s="74"/>
      <c r="R705" s="79"/>
      <c r="S705" s="80"/>
      <c r="T705" s="81"/>
      <c r="U705" s="130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3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462</v>
      </c>
      <c r="C706" s="73" t="s">
        <v>228</v>
      </c>
      <c r="D706" s="74" t="s">
        <v>1653</v>
      </c>
      <c r="E706" s="79" t="s">
        <v>1649</v>
      </c>
      <c r="F706" s="80"/>
      <c r="G706" s="81"/>
      <c r="H706" s="78" t="s">
        <v>16</v>
      </c>
      <c r="I706" s="118">
        <v>46061</v>
      </c>
      <c r="J706" s="73">
        <v>3</v>
      </c>
      <c r="K706" s="122" t="s">
        <v>1654</v>
      </c>
      <c r="L706" s="120">
        <f t="shared" si="20"/>
        <v>46150</v>
      </c>
      <c r="M706" s="121">
        <f ca="1" t="shared" si="21"/>
        <v>47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45</v>
      </c>
      <c r="C707" s="73" t="s">
        <v>27</v>
      </c>
      <c r="D707" s="74" t="s">
        <v>1655</v>
      </c>
      <c r="E707" s="79" t="s">
        <v>118</v>
      </c>
      <c r="F707" s="80"/>
      <c r="G707" s="81"/>
      <c r="H707" s="78" t="s">
        <v>16</v>
      </c>
      <c r="I707" s="118">
        <v>46061</v>
      </c>
      <c r="J707" s="73">
        <v>3</v>
      </c>
      <c r="K707" s="122" t="s">
        <v>1656</v>
      </c>
      <c r="L707" s="120">
        <f t="shared" ref="L707:L770" si="22">EDATE(I707,J707)</f>
        <v>46150</v>
      </c>
      <c r="M707" s="121">
        <f ca="1" t="shared" ref="M707:M770" si="23">L707-TODAY()</f>
        <v>47</v>
      </c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1657</v>
      </c>
      <c r="C708" s="73" t="s">
        <v>27</v>
      </c>
      <c r="D708" s="74" t="s">
        <v>1658</v>
      </c>
      <c r="E708" s="79" t="s">
        <v>205</v>
      </c>
      <c r="F708" s="80"/>
      <c r="G708" s="81"/>
      <c r="H708" s="82"/>
      <c r="I708" s="118">
        <v>46061</v>
      </c>
      <c r="J708" s="73">
        <v>3</v>
      </c>
      <c r="K708" s="122" t="s">
        <v>1659</v>
      </c>
      <c r="L708" s="120">
        <f t="shared" si="22"/>
        <v>46150</v>
      </c>
      <c r="M708" s="121">
        <f ca="1" t="shared" si="23"/>
        <v>47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421</v>
      </c>
      <c r="C709" s="73" t="s">
        <v>27</v>
      </c>
      <c r="D709" s="74" t="s">
        <v>1660</v>
      </c>
      <c r="E709" s="79" t="s">
        <v>361</v>
      </c>
      <c r="F709" s="80"/>
      <c r="G709" s="81"/>
      <c r="H709" s="78" t="s">
        <v>16</v>
      </c>
      <c r="I709" s="118">
        <v>46061</v>
      </c>
      <c r="J709" s="73">
        <v>3</v>
      </c>
      <c r="K709" s="122" t="s">
        <v>1661</v>
      </c>
      <c r="L709" s="120">
        <f t="shared" si="22"/>
        <v>46150</v>
      </c>
      <c r="M709" s="121">
        <f ca="1" t="shared" si="23"/>
        <v>47</v>
      </c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37</v>
      </c>
      <c r="C710" s="73" t="s">
        <v>13</v>
      </c>
      <c r="D710" s="74" t="s">
        <v>1662</v>
      </c>
      <c r="E710" s="79" t="s">
        <v>1663</v>
      </c>
      <c r="F710" s="80"/>
      <c r="G710" s="81"/>
      <c r="H710" s="78" t="s">
        <v>16</v>
      </c>
      <c r="I710" s="118">
        <v>46061</v>
      </c>
      <c r="J710" s="73">
        <v>3</v>
      </c>
      <c r="K710" s="122" t="s">
        <v>1664</v>
      </c>
      <c r="L710" s="120">
        <f t="shared" si="22"/>
        <v>46150</v>
      </c>
      <c r="M710" s="121">
        <f ca="1" t="shared" si="23"/>
        <v>47</v>
      </c>
      <c r="N710" s="73"/>
      <c r="O710" s="73"/>
      <c r="P710" s="73"/>
      <c r="Q710" s="74"/>
      <c r="R710" s="79"/>
      <c r="S710" s="80"/>
      <c r="T710" s="81"/>
      <c r="U710" s="130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130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45</v>
      </c>
      <c r="C711" s="73" t="s">
        <v>13</v>
      </c>
      <c r="D711" s="74" t="s">
        <v>1665</v>
      </c>
      <c r="E711" s="79" t="s">
        <v>47</v>
      </c>
      <c r="F711" s="80"/>
      <c r="G711" s="81"/>
      <c r="H711" s="78" t="s">
        <v>16</v>
      </c>
      <c r="I711" s="118">
        <v>46061</v>
      </c>
      <c r="J711" s="73">
        <v>3</v>
      </c>
      <c r="K711" s="122" t="s">
        <v>1666</v>
      </c>
      <c r="L711" s="120">
        <f t="shared" si="22"/>
        <v>46150</v>
      </c>
      <c r="M711" s="121">
        <f ca="1" t="shared" si="23"/>
        <v>47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157</v>
      </c>
      <c r="C712" s="73" t="s">
        <v>158</v>
      </c>
      <c r="D712" s="74" t="s">
        <v>589</v>
      </c>
      <c r="E712" s="79" t="s">
        <v>471</v>
      </c>
      <c r="F712" s="80"/>
      <c r="G712" s="81"/>
      <c r="H712" s="82"/>
      <c r="I712" s="118">
        <v>46061</v>
      </c>
      <c r="J712" s="118" t="s">
        <v>473</v>
      </c>
      <c r="K712" s="122"/>
      <c r="L712" s="120" t="e">
        <f t="shared" si="22"/>
        <v>#VALUE!</v>
      </c>
      <c r="M712" s="121" t="e">
        <f ca="1" t="shared" si="23"/>
        <v>#VALUE!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157</v>
      </c>
      <c r="C713" s="73" t="s">
        <v>158</v>
      </c>
      <c r="D713" s="74" t="s">
        <v>589</v>
      </c>
      <c r="E713" s="79" t="s">
        <v>464</v>
      </c>
      <c r="F713" s="80"/>
      <c r="G713" s="81"/>
      <c r="H713" s="82"/>
      <c r="I713" s="118">
        <v>46061</v>
      </c>
      <c r="J713" s="118" t="s">
        <v>473</v>
      </c>
      <c r="K713" s="122"/>
      <c r="L713" s="120" t="e">
        <f t="shared" si="22"/>
        <v>#VALUE!</v>
      </c>
      <c r="M713" s="121" t="e">
        <f ca="1" t="shared" si="23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181</v>
      </c>
      <c r="C714" s="73" t="s">
        <v>158</v>
      </c>
      <c r="D714" s="74" t="s">
        <v>1667</v>
      </c>
      <c r="E714" s="79" t="s">
        <v>1668</v>
      </c>
      <c r="F714" s="80"/>
      <c r="G714" s="81"/>
      <c r="H714" s="82"/>
      <c r="I714" s="118">
        <v>46061</v>
      </c>
      <c r="J714" s="73">
        <v>3</v>
      </c>
      <c r="K714" s="122" t="s">
        <v>1669</v>
      </c>
      <c r="L714" s="120">
        <f t="shared" si="22"/>
        <v>46150</v>
      </c>
      <c r="M714" s="121">
        <f ca="1" t="shared" si="23"/>
        <v>47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1163</v>
      </c>
      <c r="C715" s="73" t="s">
        <v>158</v>
      </c>
      <c r="D715" s="74" t="s">
        <v>589</v>
      </c>
      <c r="E715" s="79" t="s">
        <v>471</v>
      </c>
      <c r="F715" s="80"/>
      <c r="G715" s="81"/>
      <c r="H715" s="82"/>
      <c r="I715" s="118">
        <v>46061</v>
      </c>
      <c r="J715" s="118" t="s">
        <v>473</v>
      </c>
      <c r="K715" s="122"/>
      <c r="L715" s="120" t="e">
        <f t="shared" si="22"/>
        <v>#VALUE!</v>
      </c>
      <c r="M715" s="121" t="e">
        <f ca="1" t="shared" si="23"/>
        <v>#VALUE!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397</v>
      </c>
      <c r="C716" s="73" t="s">
        <v>158</v>
      </c>
      <c r="D716" s="74" t="s">
        <v>1445</v>
      </c>
      <c r="E716" s="79" t="s">
        <v>1446</v>
      </c>
      <c r="F716" s="80"/>
      <c r="G716" s="81"/>
      <c r="H716" s="82"/>
      <c r="I716" s="118">
        <v>46061</v>
      </c>
      <c r="J716" s="118" t="s">
        <v>473</v>
      </c>
      <c r="K716" s="122" t="s">
        <v>1670</v>
      </c>
      <c r="L716" s="120" t="e">
        <f t="shared" si="22"/>
        <v>#VALUE!</v>
      </c>
      <c r="M716" s="121" t="e">
        <f ca="1" t="shared" si="23"/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250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22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397</v>
      </c>
      <c r="C717" s="73" t="s">
        <v>158</v>
      </c>
      <c r="D717" s="74" t="s">
        <v>1671</v>
      </c>
      <c r="E717" s="79" t="s">
        <v>1672</v>
      </c>
      <c r="F717" s="80"/>
      <c r="G717" s="81"/>
      <c r="H717" s="82"/>
      <c r="I717" s="118">
        <v>46061</v>
      </c>
      <c r="J717" s="73">
        <v>3</v>
      </c>
      <c r="K717" s="122" t="s">
        <v>1673</v>
      </c>
      <c r="L717" s="120">
        <f t="shared" si="22"/>
        <v>46150</v>
      </c>
      <c r="M717" s="121">
        <f ca="1" t="shared" si="23"/>
        <v>47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78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395</v>
      </c>
      <c r="C718" s="73" t="s">
        <v>158</v>
      </c>
      <c r="D718" s="74" t="s">
        <v>159</v>
      </c>
      <c r="E718" s="79" t="s">
        <v>464</v>
      </c>
      <c r="F718" s="80"/>
      <c r="G718" s="81"/>
      <c r="H718" s="82"/>
      <c r="I718" s="118">
        <v>46061</v>
      </c>
      <c r="J718" s="118" t="s">
        <v>473</v>
      </c>
      <c r="K718" s="122"/>
      <c r="L718" s="120" t="e">
        <f t="shared" si="22"/>
        <v>#VALUE!</v>
      </c>
      <c r="M718" s="121" t="e">
        <f ca="1" t="shared" si="23"/>
        <v>#VALUE!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756</v>
      </c>
      <c r="C719" s="73" t="s">
        <v>158</v>
      </c>
      <c r="D719" s="74" t="s">
        <v>1674</v>
      </c>
      <c r="E719" s="79" t="s">
        <v>221</v>
      </c>
      <c r="F719" s="80"/>
      <c r="G719" s="81"/>
      <c r="H719" s="82"/>
      <c r="I719" s="118">
        <v>46061</v>
      </c>
      <c r="J719" s="73">
        <v>3</v>
      </c>
      <c r="K719" s="122" t="s">
        <v>1675</v>
      </c>
      <c r="L719" s="120">
        <f t="shared" si="22"/>
        <v>46150</v>
      </c>
      <c r="M719" s="121">
        <f ca="1" t="shared" si="23"/>
        <v>47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533</v>
      </c>
      <c r="C720" s="73" t="s">
        <v>158</v>
      </c>
      <c r="D720" s="74" t="s">
        <v>1676</v>
      </c>
      <c r="E720" s="79" t="s">
        <v>1677</v>
      </c>
      <c r="F720" s="80"/>
      <c r="G720" s="81"/>
      <c r="H720" s="82"/>
      <c r="I720" s="118">
        <v>46061</v>
      </c>
      <c r="J720" s="73">
        <v>3</v>
      </c>
      <c r="K720" s="122" t="s">
        <v>1678</v>
      </c>
      <c r="L720" s="120">
        <f t="shared" si="22"/>
        <v>46150</v>
      </c>
      <c r="M720" s="121">
        <f ca="1" t="shared" si="23"/>
        <v>47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533</v>
      </c>
      <c r="C721" s="73" t="s">
        <v>158</v>
      </c>
      <c r="D721" s="74" t="s">
        <v>1679</v>
      </c>
      <c r="E721" s="79" t="s">
        <v>1677</v>
      </c>
      <c r="F721" s="80"/>
      <c r="G721" s="81"/>
      <c r="H721" s="82"/>
      <c r="I721" s="118">
        <v>46061</v>
      </c>
      <c r="J721" s="73">
        <v>3</v>
      </c>
      <c r="K721" s="122" t="s">
        <v>1680</v>
      </c>
      <c r="L721" s="120">
        <f t="shared" si="22"/>
        <v>46150</v>
      </c>
      <c r="M721" s="121">
        <f ca="1" t="shared" si="23"/>
        <v>47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106</v>
      </c>
      <c r="C722" s="73" t="s">
        <v>27</v>
      </c>
      <c r="D722" s="74" t="s">
        <v>107</v>
      </c>
      <c r="E722" s="79" t="s">
        <v>108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si="22"/>
        <v>#VALUE!</v>
      </c>
      <c r="M722" s="121" t="e">
        <f ca="1" t="shared" si="23"/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630</v>
      </c>
      <c r="C723" s="73" t="s">
        <v>228</v>
      </c>
      <c r="D723" s="74" t="s">
        <v>1681</v>
      </c>
      <c r="E723" s="79" t="s">
        <v>632</v>
      </c>
      <c r="F723" s="80"/>
      <c r="G723" s="81"/>
      <c r="H723" s="78" t="s">
        <v>16</v>
      </c>
      <c r="I723" s="118">
        <v>46061</v>
      </c>
      <c r="J723" s="73">
        <v>3</v>
      </c>
      <c r="K723" s="122" t="s">
        <v>1682</v>
      </c>
      <c r="L723" s="120">
        <f t="shared" si="22"/>
        <v>46150</v>
      </c>
      <c r="M723" s="121">
        <f ca="1" t="shared" si="23"/>
        <v>47</v>
      </c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827</v>
      </c>
      <c r="C724" s="73" t="s">
        <v>13</v>
      </c>
      <c r="D724" s="74" t="s">
        <v>1683</v>
      </c>
      <c r="E724" s="79" t="s">
        <v>1684</v>
      </c>
      <c r="F724" s="80"/>
      <c r="G724" s="81"/>
      <c r="H724" s="82"/>
      <c r="I724" s="118">
        <v>46061</v>
      </c>
      <c r="J724" s="118" t="s">
        <v>473</v>
      </c>
      <c r="K724" s="122" t="s">
        <v>1685</v>
      </c>
      <c r="L724" s="120" t="e">
        <f t="shared" si="22"/>
        <v>#VALUE!</v>
      </c>
      <c r="M724" s="121" t="e">
        <f ca="1" t="shared" si="23"/>
        <v>#VALUE!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827</v>
      </c>
      <c r="C725" s="73" t="s">
        <v>13</v>
      </c>
      <c r="D725" s="74" t="s">
        <v>1686</v>
      </c>
      <c r="E725" s="79" t="s">
        <v>1687</v>
      </c>
      <c r="F725" s="80"/>
      <c r="G725" s="81"/>
      <c r="H725" s="82"/>
      <c r="I725" s="118">
        <v>46061</v>
      </c>
      <c r="J725" s="118" t="s">
        <v>473</v>
      </c>
      <c r="K725" s="122" t="s">
        <v>1688</v>
      </c>
      <c r="L725" s="120" t="e">
        <f t="shared" si="22"/>
        <v>#VALUE!</v>
      </c>
      <c r="M725" s="121" t="e">
        <f ca="1" t="shared" si="23"/>
        <v>#VALUE!</v>
      </c>
      <c r="N725" s="73"/>
      <c r="O725" s="73"/>
      <c r="P725" s="73"/>
      <c r="Q725" s="74"/>
      <c r="R725" s="79"/>
      <c r="S725" s="80"/>
      <c r="T725" s="81"/>
      <c r="U725" s="78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462</v>
      </c>
      <c r="C726" s="73" t="s">
        <v>27</v>
      </c>
      <c r="D726" s="74" t="s">
        <v>1689</v>
      </c>
      <c r="E726" s="79" t="s">
        <v>118</v>
      </c>
      <c r="F726" s="80"/>
      <c r="G726" s="81"/>
      <c r="H726" s="89" t="s">
        <v>16</v>
      </c>
      <c r="I726" s="118">
        <v>46061</v>
      </c>
      <c r="J726" s="73">
        <v>3</v>
      </c>
      <c r="K726" s="122" t="s">
        <v>1690</v>
      </c>
      <c r="L726" s="120">
        <f t="shared" si="22"/>
        <v>46150</v>
      </c>
      <c r="M726" s="121">
        <f ca="1" t="shared" si="23"/>
        <v>47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636</v>
      </c>
      <c r="C727" s="73" t="s">
        <v>228</v>
      </c>
      <c r="D727" s="74" t="s">
        <v>1691</v>
      </c>
      <c r="E727" s="79" t="s">
        <v>802</v>
      </c>
      <c r="F727" s="80"/>
      <c r="G727" s="81"/>
      <c r="H727" s="89" t="s">
        <v>16</v>
      </c>
      <c r="I727" s="118">
        <v>46061</v>
      </c>
      <c r="J727" s="73">
        <v>3</v>
      </c>
      <c r="K727" s="122" t="s">
        <v>1692</v>
      </c>
      <c r="L727" s="120">
        <f t="shared" si="22"/>
        <v>46150</v>
      </c>
      <c r="M727" s="121">
        <f ca="1" t="shared" si="23"/>
        <v>47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181</v>
      </c>
      <c r="C728" s="73" t="s">
        <v>158</v>
      </c>
      <c r="D728" s="74" t="s">
        <v>1693</v>
      </c>
      <c r="E728" s="79" t="s">
        <v>1694</v>
      </c>
      <c r="F728" s="80"/>
      <c r="G728" s="81"/>
      <c r="H728" s="82"/>
      <c r="I728" s="118">
        <v>46062</v>
      </c>
      <c r="J728" s="73">
        <v>3</v>
      </c>
      <c r="K728" s="122" t="s">
        <v>1695</v>
      </c>
      <c r="L728" s="120">
        <f t="shared" si="22"/>
        <v>46151</v>
      </c>
      <c r="M728" s="121">
        <f ca="1" t="shared" si="23"/>
        <v>48</v>
      </c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181</v>
      </c>
      <c r="C729" s="73" t="s">
        <v>158</v>
      </c>
      <c r="D729" s="74" t="s">
        <v>1696</v>
      </c>
      <c r="E729" s="79" t="s">
        <v>1668</v>
      </c>
      <c r="F729" s="80"/>
      <c r="G729" s="81"/>
      <c r="H729" s="82"/>
      <c r="I729" s="118">
        <v>46062</v>
      </c>
      <c r="J729" s="73">
        <v>3</v>
      </c>
      <c r="K729" s="122" t="s">
        <v>1697</v>
      </c>
      <c r="L729" s="120">
        <f t="shared" si="22"/>
        <v>46151</v>
      </c>
      <c r="M729" s="121">
        <f ca="1" t="shared" si="23"/>
        <v>48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1698</v>
      </c>
      <c r="E730" s="79" t="s">
        <v>1699</v>
      </c>
      <c r="F730" s="80"/>
      <c r="G730" s="81"/>
      <c r="H730" s="82"/>
      <c r="I730" s="118">
        <v>46062</v>
      </c>
      <c r="J730" s="73">
        <v>3</v>
      </c>
      <c r="K730" s="122" t="s">
        <v>1700</v>
      </c>
      <c r="L730" s="120">
        <f t="shared" si="22"/>
        <v>46151</v>
      </c>
      <c r="M730" s="121">
        <f ca="1" t="shared" si="23"/>
        <v>48</v>
      </c>
      <c r="N730" s="73"/>
      <c r="O730" s="73"/>
      <c r="P730" s="73"/>
      <c r="Q730" s="74"/>
      <c r="R730" s="79"/>
      <c r="S730" s="80"/>
      <c r="T730" s="81"/>
      <c r="U730" s="147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130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130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1701</v>
      </c>
      <c r="E731" s="79" t="s">
        <v>1702</v>
      </c>
      <c r="F731" s="80"/>
      <c r="G731" s="81"/>
      <c r="H731" s="82"/>
      <c r="I731" s="118">
        <v>46062</v>
      </c>
      <c r="J731" s="73">
        <v>3</v>
      </c>
      <c r="K731" s="122" t="s">
        <v>1703</v>
      </c>
      <c r="L731" s="120">
        <f t="shared" si="22"/>
        <v>46151</v>
      </c>
      <c r="M731" s="121">
        <f ca="1" t="shared" si="23"/>
        <v>48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1704</v>
      </c>
      <c r="E732" s="79" t="s">
        <v>1705</v>
      </c>
      <c r="F732" s="80"/>
      <c r="G732" s="81"/>
      <c r="H732" s="82"/>
      <c r="I732" s="118">
        <v>46062</v>
      </c>
      <c r="J732" s="73">
        <v>3</v>
      </c>
      <c r="K732" s="122" t="s">
        <v>1706</v>
      </c>
      <c r="L732" s="120">
        <f t="shared" si="22"/>
        <v>46151</v>
      </c>
      <c r="M732" s="121">
        <f ca="1" t="shared" si="23"/>
        <v>48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533</v>
      </c>
      <c r="C733" s="73" t="s">
        <v>158</v>
      </c>
      <c r="D733" s="74" t="s">
        <v>1707</v>
      </c>
      <c r="E733" s="79" t="s">
        <v>1708</v>
      </c>
      <c r="F733" s="80"/>
      <c r="G733" s="81"/>
      <c r="H733" s="82"/>
      <c r="I733" s="118">
        <v>46062</v>
      </c>
      <c r="J733" s="73">
        <v>3</v>
      </c>
      <c r="K733" s="122" t="s">
        <v>1709</v>
      </c>
      <c r="L733" s="120">
        <f t="shared" si="22"/>
        <v>46151</v>
      </c>
      <c r="M733" s="121">
        <f ca="1" t="shared" si="23"/>
        <v>48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533</v>
      </c>
      <c r="C734" s="73" t="s">
        <v>158</v>
      </c>
      <c r="D734" s="74" t="s">
        <v>1710</v>
      </c>
      <c r="E734" s="79" t="s">
        <v>1668</v>
      </c>
      <c r="F734" s="80"/>
      <c r="G734" s="81"/>
      <c r="H734" s="82"/>
      <c r="I734" s="118">
        <v>46062</v>
      </c>
      <c r="J734" s="73">
        <v>3</v>
      </c>
      <c r="K734" s="122" t="s">
        <v>1711</v>
      </c>
      <c r="L734" s="120">
        <f t="shared" si="22"/>
        <v>46151</v>
      </c>
      <c r="M734" s="121">
        <f ca="1" t="shared" si="23"/>
        <v>48</v>
      </c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1712</v>
      </c>
      <c r="C735" s="73" t="s">
        <v>158</v>
      </c>
      <c r="D735" s="74" t="s">
        <v>1713</v>
      </c>
      <c r="E735" s="79" t="s">
        <v>1714</v>
      </c>
      <c r="F735" s="80"/>
      <c r="G735" s="81"/>
      <c r="H735" s="82"/>
      <c r="I735" s="118">
        <v>46062</v>
      </c>
      <c r="J735" s="73">
        <v>3</v>
      </c>
      <c r="K735" s="122" t="s">
        <v>1715</v>
      </c>
      <c r="L735" s="120">
        <f t="shared" si="22"/>
        <v>46151</v>
      </c>
      <c r="M735" s="121">
        <f ca="1" t="shared" si="23"/>
        <v>48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753</v>
      </c>
      <c r="C736" s="73" t="s">
        <v>158</v>
      </c>
      <c r="D736" s="74" t="s">
        <v>754</v>
      </c>
      <c r="E736" s="79" t="s">
        <v>158</v>
      </c>
      <c r="F736" s="80"/>
      <c r="G736" s="81"/>
      <c r="H736" s="82"/>
      <c r="I736" s="118">
        <v>46062</v>
      </c>
      <c r="J736" s="118" t="s">
        <v>473</v>
      </c>
      <c r="K736" s="122"/>
      <c r="L736" s="120" t="e">
        <f t="shared" si="22"/>
        <v>#VALUE!</v>
      </c>
      <c r="M736" s="121" t="e">
        <f ca="1" t="shared" si="23"/>
        <v>#VALUE!</v>
      </c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324</v>
      </c>
      <c r="C737" s="73" t="s">
        <v>13</v>
      </c>
      <c r="D737" s="74" t="s">
        <v>1716</v>
      </c>
      <c r="E737" s="79" t="s">
        <v>1717</v>
      </c>
      <c r="F737" s="80"/>
      <c r="G737" s="81"/>
      <c r="H737" s="130" t="s">
        <v>16</v>
      </c>
      <c r="I737" s="118">
        <v>46063</v>
      </c>
      <c r="J737" s="73">
        <v>3</v>
      </c>
      <c r="K737" s="122" t="s">
        <v>1718</v>
      </c>
      <c r="L737" s="120">
        <f t="shared" si="22"/>
        <v>46152</v>
      </c>
      <c r="M737" s="121">
        <f ca="1" t="shared" si="23"/>
        <v>49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157</v>
      </c>
      <c r="C738" s="73" t="s">
        <v>158</v>
      </c>
      <c r="D738" s="74" t="s">
        <v>589</v>
      </c>
      <c r="E738" s="79" t="s">
        <v>471</v>
      </c>
      <c r="F738" s="80"/>
      <c r="G738" s="81"/>
      <c r="H738" s="204"/>
      <c r="I738" s="118">
        <v>46065</v>
      </c>
      <c r="J738" s="118" t="s">
        <v>473</v>
      </c>
      <c r="K738" s="122"/>
      <c r="L738" s="120" t="e">
        <f t="shared" si="22"/>
        <v>#VALUE!</v>
      </c>
      <c r="M738" s="121" t="e">
        <f ca="1" t="shared" si="23"/>
        <v>#VALUE!</v>
      </c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13</v>
      </c>
      <c r="D739" s="74" t="s">
        <v>1719</v>
      </c>
      <c r="E739" s="79" t="s">
        <v>71</v>
      </c>
      <c r="F739" s="80"/>
      <c r="G739" s="81"/>
      <c r="H739" s="130" t="s">
        <v>16</v>
      </c>
      <c r="I739" s="118">
        <v>46078</v>
      </c>
      <c r="J739" s="73">
        <v>3</v>
      </c>
      <c r="K739" s="122" t="s">
        <v>1720</v>
      </c>
      <c r="L739" s="120">
        <f t="shared" si="22"/>
        <v>46167</v>
      </c>
      <c r="M739" s="121">
        <f ca="1" t="shared" si="23"/>
        <v>64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462</v>
      </c>
      <c r="C740" s="73" t="s">
        <v>158</v>
      </c>
      <c r="D740" s="74" t="s">
        <v>463</v>
      </c>
      <c r="E740" s="79" t="s">
        <v>464</v>
      </c>
      <c r="F740" s="80"/>
      <c r="G740" s="81"/>
      <c r="H740" s="204"/>
      <c r="I740" s="118">
        <v>46078</v>
      </c>
      <c r="J740" s="118" t="s">
        <v>473</v>
      </c>
      <c r="K740" s="122" t="s">
        <v>1721</v>
      </c>
      <c r="L740" s="120" t="e">
        <f t="shared" si="22"/>
        <v>#VALUE!</v>
      </c>
      <c r="M740" s="121" t="e">
        <f ca="1" t="shared" si="23"/>
        <v>#VALUE!</v>
      </c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27</v>
      </c>
      <c r="D741" s="74" t="s">
        <v>1722</v>
      </c>
      <c r="E741" s="79" t="s">
        <v>318</v>
      </c>
      <c r="F741" s="80"/>
      <c r="G741" s="81"/>
      <c r="H741" s="130" t="s">
        <v>16</v>
      </c>
      <c r="I741" s="118">
        <v>46079</v>
      </c>
      <c r="J741" s="73">
        <v>3</v>
      </c>
      <c r="K741" s="122" t="s">
        <v>1723</v>
      </c>
      <c r="L741" s="120">
        <f t="shared" si="22"/>
        <v>46168</v>
      </c>
      <c r="M741" s="121">
        <f ca="1" t="shared" si="23"/>
        <v>65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2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349</v>
      </c>
      <c r="C742" s="73" t="s">
        <v>13</v>
      </c>
      <c r="D742" s="74" t="s">
        <v>1724</v>
      </c>
      <c r="E742" s="79" t="s">
        <v>25</v>
      </c>
      <c r="F742" s="80"/>
      <c r="G742" s="81"/>
      <c r="H742" s="130" t="s">
        <v>16</v>
      </c>
      <c r="I742" s="118">
        <v>46079</v>
      </c>
      <c r="J742" s="73">
        <v>3</v>
      </c>
      <c r="K742" s="122" t="s">
        <v>1725</v>
      </c>
      <c r="L742" s="120">
        <f t="shared" si="22"/>
        <v>46168</v>
      </c>
      <c r="M742" s="121">
        <f ca="1" t="shared" si="23"/>
        <v>65</v>
      </c>
      <c r="N742" s="73"/>
      <c r="O742" s="73"/>
      <c r="P742" s="73"/>
      <c r="Q742" s="74"/>
      <c r="R742" s="79"/>
      <c r="S742" s="80"/>
      <c r="T742" s="81"/>
      <c r="U742" s="82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349</v>
      </c>
      <c r="C743" s="73" t="s">
        <v>13</v>
      </c>
      <c r="D743" s="74" t="s">
        <v>1726</v>
      </c>
      <c r="E743" s="79" t="s">
        <v>78</v>
      </c>
      <c r="F743" s="80"/>
      <c r="G743" s="81"/>
      <c r="H743" s="130" t="s">
        <v>16</v>
      </c>
      <c r="I743" s="118">
        <v>46079</v>
      </c>
      <c r="J743" s="73">
        <v>3</v>
      </c>
      <c r="K743" s="122" t="s">
        <v>1727</v>
      </c>
      <c r="L743" s="120">
        <f t="shared" si="22"/>
        <v>46168</v>
      </c>
      <c r="M743" s="121">
        <f ca="1" t="shared" si="23"/>
        <v>65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827</v>
      </c>
      <c r="C744" s="73" t="s">
        <v>13</v>
      </c>
      <c r="D744" s="74" t="s">
        <v>1728</v>
      </c>
      <c r="E744" s="79" t="s">
        <v>1729</v>
      </c>
      <c r="F744" s="80"/>
      <c r="G744" s="81"/>
      <c r="H744" s="130" t="s">
        <v>16</v>
      </c>
      <c r="I744" s="118">
        <v>46079</v>
      </c>
      <c r="J744" s="73">
        <v>3</v>
      </c>
      <c r="K744" s="122" t="s">
        <v>1730</v>
      </c>
      <c r="L744" s="120">
        <f t="shared" si="22"/>
        <v>46168</v>
      </c>
      <c r="M744" s="121">
        <f ca="1" t="shared" si="23"/>
        <v>65</v>
      </c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827</v>
      </c>
      <c r="C745" s="73" t="s">
        <v>13</v>
      </c>
      <c r="D745" s="74" t="s">
        <v>1731</v>
      </c>
      <c r="E745" s="79" t="s">
        <v>1732</v>
      </c>
      <c r="F745" s="80"/>
      <c r="G745" s="81"/>
      <c r="H745" s="130" t="s">
        <v>16</v>
      </c>
      <c r="I745" s="118">
        <v>46079</v>
      </c>
      <c r="J745" s="73">
        <v>3</v>
      </c>
      <c r="K745" s="122" t="s">
        <v>1733</v>
      </c>
      <c r="L745" s="120">
        <f t="shared" si="22"/>
        <v>46168</v>
      </c>
      <c r="M745" s="121">
        <f ca="1" t="shared" si="23"/>
        <v>65</v>
      </c>
      <c r="N745" s="73"/>
      <c r="O745" s="73"/>
      <c r="P745" s="73"/>
      <c r="Q745" s="74"/>
      <c r="R745" s="79"/>
      <c r="S745" s="80"/>
      <c r="T745" s="81"/>
      <c r="U745" s="89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73"/>
      <c r="AP745" s="73"/>
      <c r="AQ745" s="74"/>
      <c r="AR745" s="79"/>
      <c r="AS745" s="80"/>
      <c r="AT745" s="81"/>
      <c r="AU745" s="82"/>
      <c r="AV745" s="158"/>
      <c r="AW745" s="152"/>
      <c r="AX745" s="122"/>
      <c r="AY745" s="120"/>
      <c r="AZ745" s="121"/>
    </row>
    <row r="746" spans="1:52">
      <c r="A746" s="73">
        <v>744</v>
      </c>
      <c r="B746" s="73" t="s">
        <v>162</v>
      </c>
      <c r="C746" s="73" t="s">
        <v>158</v>
      </c>
      <c r="D746" s="74" t="s">
        <v>585</v>
      </c>
      <c r="E746" s="79" t="s">
        <v>586</v>
      </c>
      <c r="F746" s="80"/>
      <c r="G746" s="81"/>
      <c r="H746" s="82"/>
      <c r="I746" s="118">
        <v>46079</v>
      </c>
      <c r="J746" s="73" t="s">
        <v>473</v>
      </c>
      <c r="K746" s="122"/>
      <c r="L746" s="120" t="e">
        <f t="shared" si="22"/>
        <v>#VALUE!</v>
      </c>
      <c r="M746" s="121" t="e">
        <f ca="1" t="shared" si="23"/>
        <v>#VALUE!</v>
      </c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1734</v>
      </c>
      <c r="E747" s="79" t="s">
        <v>1735</v>
      </c>
      <c r="F747" s="80"/>
      <c r="G747" s="81"/>
      <c r="H747" s="82"/>
      <c r="I747" s="118">
        <v>46080</v>
      </c>
      <c r="J747" s="73">
        <v>3</v>
      </c>
      <c r="K747" s="122" t="s">
        <v>1736</v>
      </c>
      <c r="L747" s="120">
        <f t="shared" si="22"/>
        <v>46169</v>
      </c>
      <c r="M747" s="121">
        <f ca="1" t="shared" si="23"/>
        <v>66</v>
      </c>
      <c r="N747" s="73"/>
      <c r="O747" s="73"/>
      <c r="P747" s="73"/>
      <c r="Q747" s="74"/>
      <c r="R747" s="79"/>
      <c r="S747" s="80"/>
      <c r="T747" s="81"/>
      <c r="U747" s="78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78"/>
      <c r="AI747" s="118"/>
      <c r="AJ747" s="73"/>
      <c r="AK747" s="119"/>
      <c r="AL747" s="120"/>
      <c r="AM747" s="121"/>
      <c r="AN747" s="152"/>
      <c r="AO747" s="152"/>
      <c r="AP747" s="268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ht="25" customHeight="1" spans="1:52">
      <c r="A748" s="73">
        <v>746</v>
      </c>
      <c r="B748" s="73" t="s">
        <v>421</v>
      </c>
      <c r="C748" s="73" t="s">
        <v>13</v>
      </c>
      <c r="D748" s="74" t="s">
        <v>1737</v>
      </c>
      <c r="E748" s="79" t="s">
        <v>1738</v>
      </c>
      <c r="F748" s="80"/>
      <c r="G748" s="81"/>
      <c r="H748" s="82"/>
      <c r="I748" s="118">
        <v>46080</v>
      </c>
      <c r="J748" s="73">
        <v>3</v>
      </c>
      <c r="K748" s="122" t="s">
        <v>1739</v>
      </c>
      <c r="L748" s="120">
        <f t="shared" si="22"/>
        <v>46169</v>
      </c>
      <c r="M748" s="121">
        <f ca="1" t="shared" si="23"/>
        <v>66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1740</v>
      </c>
      <c r="E749" s="79" t="s">
        <v>1741</v>
      </c>
      <c r="F749" s="80"/>
      <c r="G749" s="81"/>
      <c r="H749" s="82"/>
      <c r="I749" s="118">
        <v>46080</v>
      </c>
      <c r="J749" s="73">
        <v>3</v>
      </c>
      <c r="K749" s="122" t="s">
        <v>1742</v>
      </c>
      <c r="L749" s="120">
        <f t="shared" si="22"/>
        <v>46169</v>
      </c>
      <c r="M749" s="121">
        <f ca="1" t="shared" si="23"/>
        <v>66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89"/>
      <c r="AI749" s="118"/>
      <c r="AJ749" s="73"/>
      <c r="AK749" s="119"/>
      <c r="AL749" s="120"/>
      <c r="AM749" s="121"/>
      <c r="AN749" s="152"/>
      <c r="AO749" s="152"/>
      <c r="AP749" s="152"/>
      <c r="AQ749" s="105"/>
      <c r="AR749" s="106"/>
      <c r="AS749" s="107"/>
      <c r="AT749" s="108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421</v>
      </c>
      <c r="C750" s="73" t="s">
        <v>13</v>
      </c>
      <c r="D750" s="74" t="s">
        <v>1743</v>
      </c>
      <c r="E750" s="79" t="s">
        <v>1744</v>
      </c>
      <c r="F750" s="80"/>
      <c r="G750" s="81"/>
      <c r="H750" s="130" t="s">
        <v>16</v>
      </c>
      <c r="I750" s="118">
        <v>46080</v>
      </c>
      <c r="J750" s="73">
        <v>3</v>
      </c>
      <c r="K750" s="122" t="s">
        <v>1745</v>
      </c>
      <c r="L750" s="120">
        <f t="shared" si="22"/>
        <v>46169</v>
      </c>
      <c r="M750" s="121">
        <f ca="1" t="shared" si="23"/>
        <v>66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421</v>
      </c>
      <c r="C751" s="73" t="s">
        <v>13</v>
      </c>
      <c r="D751" s="74" t="s">
        <v>1746</v>
      </c>
      <c r="E751" s="79" t="s">
        <v>78</v>
      </c>
      <c r="F751" s="80"/>
      <c r="G751" s="81"/>
      <c r="H751" s="204"/>
      <c r="I751" s="118">
        <v>46080</v>
      </c>
      <c r="J751" s="73">
        <v>3</v>
      </c>
      <c r="K751" s="122" t="s">
        <v>1747</v>
      </c>
      <c r="L751" s="120">
        <f t="shared" si="22"/>
        <v>46169</v>
      </c>
      <c r="M751" s="121">
        <f ca="1" t="shared" si="23"/>
        <v>66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89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349</v>
      </c>
      <c r="C752" s="73" t="s">
        <v>13</v>
      </c>
      <c r="D752" s="74" t="s">
        <v>1748</v>
      </c>
      <c r="E752" s="79" t="s">
        <v>1104</v>
      </c>
      <c r="F752" s="80"/>
      <c r="G752" s="81"/>
      <c r="H752" s="130" t="s">
        <v>16</v>
      </c>
      <c r="I752" s="118">
        <v>46080</v>
      </c>
      <c r="J752" s="73">
        <v>3</v>
      </c>
      <c r="K752" s="122" t="s">
        <v>1749</v>
      </c>
      <c r="L752" s="120">
        <f t="shared" si="22"/>
        <v>46169</v>
      </c>
      <c r="M752" s="121">
        <f ca="1" t="shared" si="23"/>
        <v>66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349</v>
      </c>
      <c r="C753" s="73" t="s">
        <v>13</v>
      </c>
      <c r="D753" s="74" t="s">
        <v>1750</v>
      </c>
      <c r="E753" s="79" t="s">
        <v>78</v>
      </c>
      <c r="F753" s="80"/>
      <c r="G753" s="81"/>
      <c r="H753" s="130" t="s">
        <v>16</v>
      </c>
      <c r="I753" s="118">
        <v>46080</v>
      </c>
      <c r="J753" s="73">
        <v>3</v>
      </c>
      <c r="K753" s="122" t="s">
        <v>1751</v>
      </c>
      <c r="L753" s="120">
        <f t="shared" si="22"/>
        <v>46169</v>
      </c>
      <c r="M753" s="121">
        <f ca="1" t="shared" si="23"/>
        <v>66</v>
      </c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73"/>
      <c r="AP753" s="73"/>
      <c r="AQ753" s="74"/>
      <c r="AR753" s="79"/>
      <c r="AS753" s="80"/>
      <c r="AT753" s="81"/>
      <c r="AU753" s="130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1752</v>
      </c>
      <c r="C754" s="73" t="s">
        <v>13</v>
      </c>
      <c r="D754" s="74" t="s">
        <v>1753</v>
      </c>
      <c r="E754" s="79" t="s">
        <v>1754</v>
      </c>
      <c r="F754" s="80"/>
      <c r="G754" s="81"/>
      <c r="H754" s="130" t="s">
        <v>16</v>
      </c>
      <c r="I754" s="118">
        <v>46080</v>
      </c>
      <c r="J754" s="73">
        <v>3</v>
      </c>
      <c r="K754" s="122" t="s">
        <v>1755</v>
      </c>
      <c r="L754" s="120">
        <f t="shared" si="22"/>
        <v>46169</v>
      </c>
      <c r="M754" s="121">
        <f ca="1" t="shared" si="23"/>
        <v>66</v>
      </c>
      <c r="N754" s="73"/>
      <c r="O754" s="73"/>
      <c r="P754" s="73"/>
      <c r="Q754" s="74"/>
      <c r="R754" s="79"/>
      <c r="S754" s="80"/>
      <c r="T754" s="81"/>
      <c r="U754" s="130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130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1752</v>
      </c>
      <c r="C755" s="73" t="s">
        <v>13</v>
      </c>
      <c r="D755" s="74" t="s">
        <v>1756</v>
      </c>
      <c r="E755" s="106" t="s">
        <v>78</v>
      </c>
      <c r="F755" s="107"/>
      <c r="G755" s="108"/>
      <c r="H755" s="130" t="s">
        <v>16</v>
      </c>
      <c r="I755" s="118">
        <v>46080</v>
      </c>
      <c r="J755" s="73">
        <v>3</v>
      </c>
      <c r="K755" s="122" t="s">
        <v>1757</v>
      </c>
      <c r="L755" s="120">
        <f t="shared" si="22"/>
        <v>46169</v>
      </c>
      <c r="M755" s="121">
        <f ca="1" t="shared" si="23"/>
        <v>66</v>
      </c>
      <c r="N755" s="73"/>
      <c r="O755" s="73"/>
      <c r="P755" s="73"/>
      <c r="Q755" s="74"/>
      <c r="R755" s="106"/>
      <c r="S755" s="107"/>
      <c r="T755" s="108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106"/>
      <c r="AF755" s="107"/>
      <c r="AG755" s="108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1752</v>
      </c>
      <c r="C756" s="73" t="s">
        <v>27</v>
      </c>
      <c r="D756" s="74" t="s">
        <v>1758</v>
      </c>
      <c r="E756" s="79" t="s">
        <v>205</v>
      </c>
      <c r="F756" s="80"/>
      <c r="G756" s="81"/>
      <c r="H756" s="130" t="s">
        <v>16</v>
      </c>
      <c r="I756" s="118">
        <v>46080</v>
      </c>
      <c r="J756" s="73">
        <v>3</v>
      </c>
      <c r="K756" s="122" t="s">
        <v>1759</v>
      </c>
      <c r="L756" s="120">
        <f t="shared" si="22"/>
        <v>46169</v>
      </c>
      <c r="M756" s="121">
        <f ca="1" t="shared" si="23"/>
        <v>66</v>
      </c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2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1752</v>
      </c>
      <c r="C757" s="73" t="s">
        <v>27</v>
      </c>
      <c r="D757" s="74" t="s">
        <v>1760</v>
      </c>
      <c r="E757" s="79" t="s">
        <v>22</v>
      </c>
      <c r="F757" s="80"/>
      <c r="G757" s="81"/>
      <c r="H757" s="130" t="s">
        <v>16</v>
      </c>
      <c r="I757" s="118">
        <v>46080</v>
      </c>
      <c r="J757" s="73">
        <v>3</v>
      </c>
      <c r="K757" s="122" t="s">
        <v>1761</v>
      </c>
      <c r="L757" s="120">
        <f t="shared" si="22"/>
        <v>46169</v>
      </c>
      <c r="M757" s="121">
        <f ca="1" t="shared" si="23"/>
        <v>66</v>
      </c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1762</v>
      </c>
      <c r="E758" s="79" t="s">
        <v>423</v>
      </c>
      <c r="F758" s="80"/>
      <c r="G758" s="81"/>
      <c r="H758" s="130" t="s">
        <v>16</v>
      </c>
      <c r="I758" s="118">
        <v>46081</v>
      </c>
      <c r="J758" s="73">
        <v>3</v>
      </c>
      <c r="K758" s="122" t="s">
        <v>1763</v>
      </c>
      <c r="L758" s="120">
        <f t="shared" si="22"/>
        <v>46170</v>
      </c>
      <c r="M758" s="121">
        <f ca="1" t="shared" si="23"/>
        <v>67</v>
      </c>
      <c r="N758" s="73"/>
      <c r="O758" s="73"/>
      <c r="P758" s="73"/>
      <c r="Q758" s="74"/>
      <c r="R758" s="79"/>
      <c r="S758" s="80"/>
      <c r="T758" s="81"/>
      <c r="U758" s="78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1764</v>
      </c>
      <c r="E759" s="79" t="s">
        <v>423</v>
      </c>
      <c r="F759" s="80"/>
      <c r="G759" s="81"/>
      <c r="H759" s="130" t="s">
        <v>16</v>
      </c>
      <c r="I759" s="118">
        <v>46081</v>
      </c>
      <c r="J759" s="73">
        <v>3</v>
      </c>
      <c r="K759" s="122" t="s">
        <v>1765</v>
      </c>
      <c r="L759" s="120">
        <f t="shared" si="22"/>
        <v>46170</v>
      </c>
      <c r="M759" s="121">
        <f ca="1" t="shared" si="23"/>
        <v>67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22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13</v>
      </c>
      <c r="D760" s="74" t="s">
        <v>1766</v>
      </c>
      <c r="E760" s="79" t="s">
        <v>1153</v>
      </c>
      <c r="F760" s="80"/>
      <c r="G760" s="81"/>
      <c r="H760" s="130" t="s">
        <v>16</v>
      </c>
      <c r="I760" s="118">
        <v>46081</v>
      </c>
      <c r="J760" s="73">
        <v>3</v>
      </c>
      <c r="K760" s="122" t="s">
        <v>1767</v>
      </c>
      <c r="L760" s="120">
        <f t="shared" si="22"/>
        <v>46170</v>
      </c>
      <c r="M760" s="121">
        <f ca="1" t="shared" si="23"/>
        <v>67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13</v>
      </c>
      <c r="D761" s="74" t="s">
        <v>1768</v>
      </c>
      <c r="E761" s="79" t="s">
        <v>372</v>
      </c>
      <c r="F761" s="80"/>
      <c r="G761" s="81"/>
      <c r="H761" s="130" t="s">
        <v>16</v>
      </c>
      <c r="I761" s="118">
        <v>46081</v>
      </c>
      <c r="J761" s="73">
        <v>3</v>
      </c>
      <c r="K761" s="122" t="s">
        <v>1769</v>
      </c>
      <c r="L761" s="120">
        <f t="shared" si="22"/>
        <v>46170</v>
      </c>
      <c r="M761" s="121">
        <f ca="1" t="shared" si="23"/>
        <v>67</v>
      </c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462</v>
      </c>
      <c r="C762" s="73" t="s">
        <v>27</v>
      </c>
      <c r="D762" s="74" t="s">
        <v>1770</v>
      </c>
      <c r="E762" s="79" t="s">
        <v>118</v>
      </c>
      <c r="F762" s="80"/>
      <c r="G762" s="81"/>
      <c r="H762" s="130" t="s">
        <v>16</v>
      </c>
      <c r="I762" s="118">
        <v>46081</v>
      </c>
      <c r="J762" s="73">
        <v>3</v>
      </c>
      <c r="K762" s="122" t="s">
        <v>1771</v>
      </c>
      <c r="L762" s="120">
        <f t="shared" si="22"/>
        <v>46170</v>
      </c>
      <c r="M762" s="121">
        <f ca="1" t="shared" si="23"/>
        <v>67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462</v>
      </c>
      <c r="C763" s="73" t="s">
        <v>158</v>
      </c>
      <c r="D763" s="74" t="s">
        <v>463</v>
      </c>
      <c r="E763" s="79" t="s">
        <v>464</v>
      </c>
      <c r="F763" s="80"/>
      <c r="G763" s="81"/>
      <c r="H763" s="82"/>
      <c r="I763" s="118">
        <v>46081</v>
      </c>
      <c r="J763" s="73" t="s">
        <v>473</v>
      </c>
      <c r="K763" s="122"/>
      <c r="L763" s="120" t="e">
        <f t="shared" si="22"/>
        <v>#VALUE!</v>
      </c>
      <c r="M763" s="121" t="e">
        <f ca="1" t="shared" si="23"/>
        <v>#VALUE!</v>
      </c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1128</v>
      </c>
      <c r="C764" s="73" t="s">
        <v>27</v>
      </c>
      <c r="D764" s="74" t="s">
        <v>1772</v>
      </c>
      <c r="E764" s="79" t="s">
        <v>205</v>
      </c>
      <c r="F764" s="80"/>
      <c r="G764" s="81"/>
      <c r="H764" s="82"/>
      <c r="I764" s="118">
        <v>46081</v>
      </c>
      <c r="J764" s="73">
        <v>3</v>
      </c>
      <c r="K764" s="122" t="s">
        <v>1773</v>
      </c>
      <c r="L764" s="120">
        <f t="shared" si="22"/>
        <v>46170</v>
      </c>
      <c r="M764" s="121">
        <f ca="1" t="shared" si="23"/>
        <v>67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1155</v>
      </c>
      <c r="C765" s="73" t="s">
        <v>27</v>
      </c>
      <c r="D765" s="74" t="s">
        <v>1774</v>
      </c>
      <c r="E765" s="79" t="s">
        <v>1775</v>
      </c>
      <c r="F765" s="80"/>
      <c r="G765" s="81"/>
      <c r="H765" s="82"/>
      <c r="I765" s="118">
        <v>46081</v>
      </c>
      <c r="J765" s="73" t="s">
        <v>473</v>
      </c>
      <c r="K765" s="122" t="s">
        <v>1617</v>
      </c>
      <c r="L765" s="120" t="e">
        <f t="shared" si="22"/>
        <v>#VALUE!</v>
      </c>
      <c r="M765" s="121" t="e">
        <f ca="1" t="shared" si="23"/>
        <v>#VALUE!</v>
      </c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827</v>
      </c>
      <c r="C766" s="73" t="s">
        <v>13</v>
      </c>
      <c r="D766" s="74" t="s">
        <v>1776</v>
      </c>
      <c r="E766" s="79" t="s">
        <v>1777</v>
      </c>
      <c r="F766" s="80"/>
      <c r="G766" s="81"/>
      <c r="H766" s="89" t="s">
        <v>16</v>
      </c>
      <c r="I766" s="118">
        <v>46081</v>
      </c>
      <c r="J766" s="73">
        <v>3</v>
      </c>
      <c r="K766" s="122" t="s">
        <v>1778</v>
      </c>
      <c r="L766" s="120">
        <f t="shared" si="22"/>
        <v>46170</v>
      </c>
      <c r="M766" s="121">
        <f ca="1" t="shared" si="23"/>
        <v>67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314</v>
      </c>
      <c r="C767" s="73" t="s">
        <v>13</v>
      </c>
      <c r="D767" s="74" t="s">
        <v>1779</v>
      </c>
      <c r="E767" s="79" t="s">
        <v>608</v>
      </c>
      <c r="F767" s="80"/>
      <c r="G767" s="81"/>
      <c r="H767" s="82"/>
      <c r="I767" s="118">
        <v>46081</v>
      </c>
      <c r="J767" s="73">
        <v>3</v>
      </c>
      <c r="K767" s="122" t="s">
        <v>1780</v>
      </c>
      <c r="L767" s="120">
        <f t="shared" si="22"/>
        <v>46170</v>
      </c>
      <c r="M767" s="121">
        <f ca="1" t="shared" si="23"/>
        <v>67</v>
      </c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1332</v>
      </c>
      <c r="C768" s="73" t="s">
        <v>27</v>
      </c>
      <c r="D768" s="74" t="s">
        <v>1781</v>
      </c>
      <c r="E768" s="79" t="s">
        <v>1625</v>
      </c>
      <c r="F768" s="80"/>
      <c r="G768" s="81"/>
      <c r="H768" s="89" t="s">
        <v>16</v>
      </c>
      <c r="I768" s="118">
        <v>46082</v>
      </c>
      <c r="J768" s="73">
        <v>3</v>
      </c>
      <c r="K768" s="122" t="s">
        <v>1782</v>
      </c>
      <c r="L768" s="120">
        <f t="shared" si="22"/>
        <v>46174</v>
      </c>
      <c r="M768" s="121">
        <f ca="1" t="shared" si="23"/>
        <v>71</v>
      </c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1342</v>
      </c>
      <c r="C769" s="73" t="s">
        <v>158</v>
      </c>
      <c r="D769" s="74" t="s">
        <v>589</v>
      </c>
      <c r="E769" s="79" t="s">
        <v>471</v>
      </c>
      <c r="F769" s="80"/>
      <c r="G769" s="81"/>
      <c r="H769" s="82"/>
      <c r="I769" s="118">
        <v>46082</v>
      </c>
      <c r="J769" s="73" t="s">
        <v>473</v>
      </c>
      <c r="K769" s="122"/>
      <c r="L769" s="120" t="e">
        <f t="shared" si="22"/>
        <v>#VALUE!</v>
      </c>
      <c r="M769" s="121" t="e">
        <f ca="1" t="shared" si="23"/>
        <v>#VALUE!</v>
      </c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827</v>
      </c>
      <c r="C770" s="73" t="s">
        <v>13</v>
      </c>
      <c r="D770" s="269" t="s">
        <v>1783</v>
      </c>
      <c r="E770" s="79" t="s">
        <v>1784</v>
      </c>
      <c r="F770" s="80"/>
      <c r="G770" s="81"/>
      <c r="H770" s="82"/>
      <c r="I770" s="118">
        <v>46082</v>
      </c>
      <c r="J770" s="73">
        <v>3</v>
      </c>
      <c r="K770" s="122" t="s">
        <v>1785</v>
      </c>
      <c r="L770" s="120">
        <f t="shared" si="22"/>
        <v>46174</v>
      </c>
      <c r="M770" s="121">
        <f ca="1" t="shared" si="23"/>
        <v>71</v>
      </c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827</v>
      </c>
      <c r="C771" s="73" t="s">
        <v>13</v>
      </c>
      <c r="D771" s="74" t="s">
        <v>1783</v>
      </c>
      <c r="E771" s="79" t="s">
        <v>1784</v>
      </c>
      <c r="F771" s="80"/>
      <c r="G771" s="81"/>
      <c r="H771" s="82"/>
      <c r="I771" s="118">
        <v>46083</v>
      </c>
      <c r="J771" s="73" t="s">
        <v>473</v>
      </c>
      <c r="K771" s="122"/>
      <c r="L771" s="120" t="e">
        <f t="shared" ref="L771:L834" si="24">EDATE(I771,J771)</f>
        <v>#VALUE!</v>
      </c>
      <c r="M771" s="121" t="e">
        <f ca="1" t="shared" ref="M771:M834" si="25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162</v>
      </c>
      <c r="C772" s="73" t="s">
        <v>158</v>
      </c>
      <c r="D772" s="74" t="s">
        <v>224</v>
      </c>
      <c r="E772" s="79" t="s">
        <v>225</v>
      </c>
      <c r="F772" s="80"/>
      <c r="G772" s="81"/>
      <c r="H772" s="82"/>
      <c r="I772" s="118">
        <v>46083</v>
      </c>
      <c r="J772" s="73" t="s">
        <v>473</v>
      </c>
      <c r="K772" s="122"/>
      <c r="L772" s="120" t="e">
        <f t="shared" si="24"/>
        <v>#VALUE!</v>
      </c>
      <c r="M772" s="121" t="e">
        <f ca="1" t="shared" si="25"/>
        <v>#VALUE!</v>
      </c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73"/>
      <c r="AP772" s="73"/>
      <c r="AQ772" s="74"/>
      <c r="AR772" s="79"/>
      <c r="AS772" s="80"/>
      <c r="AT772" s="81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753</v>
      </c>
      <c r="C773" s="73" t="s">
        <v>158</v>
      </c>
      <c r="D773" s="74" t="s">
        <v>1557</v>
      </c>
      <c r="E773" s="79" t="s">
        <v>464</v>
      </c>
      <c r="F773" s="80"/>
      <c r="G773" s="81"/>
      <c r="H773" s="82"/>
      <c r="I773" s="118">
        <v>46083</v>
      </c>
      <c r="J773" s="73" t="s">
        <v>473</v>
      </c>
      <c r="K773" s="122"/>
      <c r="L773" s="120" t="e">
        <f t="shared" si="24"/>
        <v>#VALUE!</v>
      </c>
      <c r="M773" s="121" t="e">
        <f ca="1" t="shared" si="25"/>
        <v>#VALUE!</v>
      </c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1786</v>
      </c>
      <c r="C774" s="73" t="s">
        <v>228</v>
      </c>
      <c r="D774" s="74" t="s">
        <v>1787</v>
      </c>
      <c r="E774" s="79" t="s">
        <v>546</v>
      </c>
      <c r="F774" s="80"/>
      <c r="G774" s="81"/>
      <c r="H774" s="82"/>
      <c r="I774" s="118">
        <v>46083</v>
      </c>
      <c r="J774" s="73">
        <v>3</v>
      </c>
      <c r="K774" s="122" t="s">
        <v>1788</v>
      </c>
      <c r="L774" s="120">
        <f t="shared" si="24"/>
        <v>46175</v>
      </c>
      <c r="M774" s="121">
        <f ca="1" t="shared" si="25"/>
        <v>72</v>
      </c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1789</v>
      </c>
      <c r="C775" s="73" t="s">
        <v>13</v>
      </c>
      <c r="D775" s="74" t="s">
        <v>1790</v>
      </c>
      <c r="E775" s="79" t="s">
        <v>1717</v>
      </c>
      <c r="F775" s="80"/>
      <c r="G775" s="81"/>
      <c r="H775" s="78" t="s">
        <v>16</v>
      </c>
      <c r="I775" s="118">
        <v>46083</v>
      </c>
      <c r="J775" s="73">
        <v>3</v>
      </c>
      <c r="K775" s="122" t="s">
        <v>1791</v>
      </c>
      <c r="L775" s="120">
        <f t="shared" si="24"/>
        <v>46175</v>
      </c>
      <c r="M775" s="121">
        <f ca="1" t="shared" si="25"/>
        <v>72</v>
      </c>
      <c r="N775" s="73"/>
      <c r="O775" s="73"/>
      <c r="P775" s="73"/>
      <c r="Q775" s="74"/>
      <c r="R775" s="79"/>
      <c r="S775" s="80"/>
      <c r="T775" s="81"/>
      <c r="U775" s="78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636</v>
      </c>
      <c r="C776" s="73" t="s">
        <v>228</v>
      </c>
      <c r="D776" s="74" t="s">
        <v>1792</v>
      </c>
      <c r="E776" s="79" t="s">
        <v>802</v>
      </c>
      <c r="F776" s="80"/>
      <c r="G776" s="81"/>
      <c r="H776" s="78" t="s">
        <v>16</v>
      </c>
      <c r="I776" s="118">
        <v>46083</v>
      </c>
      <c r="J776" s="73">
        <v>3</v>
      </c>
      <c r="K776" s="122" t="s">
        <v>1793</v>
      </c>
      <c r="L776" s="120">
        <f t="shared" si="24"/>
        <v>46175</v>
      </c>
      <c r="M776" s="121">
        <f ca="1" t="shared" si="25"/>
        <v>72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1794</v>
      </c>
      <c r="C777" s="73" t="s">
        <v>228</v>
      </c>
      <c r="D777" s="74" t="s">
        <v>1795</v>
      </c>
      <c r="E777" s="79" t="s">
        <v>1796</v>
      </c>
      <c r="F777" s="80"/>
      <c r="G777" s="81"/>
      <c r="H777" s="78" t="s">
        <v>16</v>
      </c>
      <c r="I777" s="118">
        <v>46083</v>
      </c>
      <c r="J777" s="73">
        <v>3</v>
      </c>
      <c r="K777" s="122" t="s">
        <v>1797</v>
      </c>
      <c r="L777" s="120">
        <f t="shared" si="24"/>
        <v>46175</v>
      </c>
      <c r="M777" s="121">
        <f ca="1" t="shared" si="25"/>
        <v>72</v>
      </c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421</v>
      </c>
      <c r="C778" s="73" t="s">
        <v>13</v>
      </c>
      <c r="D778" s="74" t="s">
        <v>1798</v>
      </c>
      <c r="E778" s="79" t="s">
        <v>1799</v>
      </c>
      <c r="F778" s="80"/>
      <c r="G778" s="81"/>
      <c r="H778" s="78" t="s">
        <v>16</v>
      </c>
      <c r="I778" s="118">
        <v>46084</v>
      </c>
      <c r="J778" s="73">
        <v>3</v>
      </c>
      <c r="K778" s="122" t="s">
        <v>1800</v>
      </c>
      <c r="L778" s="120">
        <f t="shared" si="24"/>
        <v>46176</v>
      </c>
      <c r="M778" s="121">
        <f ca="1" t="shared" si="25"/>
        <v>73</v>
      </c>
      <c r="N778" s="73"/>
      <c r="O778" s="73"/>
      <c r="P778" s="73"/>
      <c r="Q778" s="74"/>
      <c r="R778" s="79"/>
      <c r="S778" s="80"/>
      <c r="T778" s="81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1801</v>
      </c>
      <c r="E779" s="79" t="s">
        <v>78</v>
      </c>
      <c r="F779" s="80"/>
      <c r="G779" s="81"/>
      <c r="H779" s="78" t="s">
        <v>16</v>
      </c>
      <c r="I779" s="118">
        <v>46084</v>
      </c>
      <c r="J779" s="73">
        <v>3</v>
      </c>
      <c r="K779" s="122" t="s">
        <v>1802</v>
      </c>
      <c r="L779" s="120">
        <f t="shared" si="24"/>
        <v>46176</v>
      </c>
      <c r="M779" s="121">
        <f ca="1" t="shared" si="25"/>
        <v>73</v>
      </c>
      <c r="N779" s="73"/>
      <c r="O779" s="73"/>
      <c r="P779" s="73"/>
      <c r="Q779" s="74"/>
      <c r="R779" s="79"/>
      <c r="S779" s="80"/>
      <c r="T779" s="81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1803</v>
      </c>
      <c r="E780" s="270" t="s">
        <v>241</v>
      </c>
      <c r="F780" s="271"/>
      <c r="G780" s="272"/>
      <c r="H780" s="78" t="s">
        <v>16</v>
      </c>
      <c r="I780" s="118">
        <v>46084</v>
      </c>
      <c r="J780" s="73">
        <v>3</v>
      </c>
      <c r="K780" s="122" t="s">
        <v>1804</v>
      </c>
      <c r="L780" s="120">
        <f t="shared" si="24"/>
        <v>46176</v>
      </c>
      <c r="M780" s="121">
        <f ca="1" t="shared" si="25"/>
        <v>73</v>
      </c>
      <c r="N780" s="73"/>
      <c r="O780" s="73"/>
      <c r="P780" s="73"/>
      <c r="Q780" s="74"/>
      <c r="R780" s="270"/>
      <c r="S780" s="271"/>
      <c r="T780" s="272"/>
      <c r="U780" s="78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314</v>
      </c>
      <c r="C781" s="73" t="s">
        <v>13</v>
      </c>
      <c r="D781" s="74" t="s">
        <v>1805</v>
      </c>
      <c r="E781" s="270" t="s">
        <v>25</v>
      </c>
      <c r="F781" s="271"/>
      <c r="G781" s="272"/>
      <c r="H781" s="78" t="s">
        <v>16</v>
      </c>
      <c r="I781" s="118">
        <v>46084</v>
      </c>
      <c r="J781" s="73">
        <v>3</v>
      </c>
      <c r="K781" s="122" t="s">
        <v>1806</v>
      </c>
      <c r="L781" s="120">
        <f t="shared" si="24"/>
        <v>46176</v>
      </c>
      <c r="M781" s="121">
        <f ca="1" t="shared" si="25"/>
        <v>73</v>
      </c>
      <c r="N781" s="73"/>
      <c r="O781" s="73"/>
      <c r="P781" s="73"/>
      <c r="Q781" s="74"/>
      <c r="R781" s="270"/>
      <c r="S781" s="271"/>
      <c r="T781" s="272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270"/>
      <c r="AF781" s="271"/>
      <c r="AG781" s="272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314</v>
      </c>
      <c r="C782" s="73" t="s">
        <v>13</v>
      </c>
      <c r="D782" s="74" t="s">
        <v>1807</v>
      </c>
      <c r="E782" s="270" t="s">
        <v>25</v>
      </c>
      <c r="F782" s="271"/>
      <c r="G782" s="272"/>
      <c r="H782" s="78" t="s">
        <v>16</v>
      </c>
      <c r="I782" s="118">
        <v>46084</v>
      </c>
      <c r="J782" s="73">
        <v>3</v>
      </c>
      <c r="K782" s="122" t="s">
        <v>1808</v>
      </c>
      <c r="L782" s="120">
        <f t="shared" si="24"/>
        <v>46176</v>
      </c>
      <c r="M782" s="121">
        <f ca="1" t="shared" si="25"/>
        <v>73</v>
      </c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59</v>
      </c>
      <c r="C783" s="73" t="s">
        <v>13</v>
      </c>
      <c r="D783" s="74" t="s">
        <v>1809</v>
      </c>
      <c r="E783" s="79" t="s">
        <v>615</v>
      </c>
      <c r="F783" s="80"/>
      <c r="G783" s="81"/>
      <c r="H783" s="82"/>
      <c r="I783" s="118">
        <v>46084</v>
      </c>
      <c r="J783" s="73">
        <v>3</v>
      </c>
      <c r="K783" s="122" t="s">
        <v>1810</v>
      </c>
      <c r="L783" s="120">
        <f t="shared" si="24"/>
        <v>46176</v>
      </c>
      <c r="M783" s="121">
        <f ca="1" t="shared" si="25"/>
        <v>73</v>
      </c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753</v>
      </c>
      <c r="C784" s="73" t="s">
        <v>158</v>
      </c>
      <c r="D784" s="74" t="s">
        <v>754</v>
      </c>
      <c r="E784" s="79" t="s">
        <v>158</v>
      </c>
      <c r="F784" s="80"/>
      <c r="G784" s="81"/>
      <c r="H784" s="82"/>
      <c r="I784" s="118">
        <v>46084</v>
      </c>
      <c r="J784" s="73" t="s">
        <v>473</v>
      </c>
      <c r="K784" s="122"/>
      <c r="L784" s="120" t="e">
        <f t="shared" si="24"/>
        <v>#VALUE!</v>
      </c>
      <c r="M784" s="121" t="e">
        <f ca="1" t="shared" si="25"/>
        <v>#VALUE!</v>
      </c>
      <c r="N784" s="73"/>
      <c r="O784" s="73"/>
      <c r="P784" s="73"/>
      <c r="Q784" s="74"/>
      <c r="R784" s="79"/>
      <c r="S784" s="80"/>
      <c r="T784" s="81"/>
      <c r="U784" s="89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223</v>
      </c>
      <c r="C785" s="73" t="s">
        <v>158</v>
      </c>
      <c r="D785" s="74" t="s">
        <v>224</v>
      </c>
      <c r="E785" s="79" t="s">
        <v>225</v>
      </c>
      <c r="F785" s="80"/>
      <c r="G785" s="81"/>
      <c r="H785" s="82"/>
      <c r="I785" s="118">
        <v>46084</v>
      </c>
      <c r="J785" s="73" t="s">
        <v>473</v>
      </c>
      <c r="K785" s="122"/>
      <c r="L785" s="120" t="e">
        <f t="shared" si="24"/>
        <v>#VALUE!</v>
      </c>
      <c r="M785" s="121" t="e">
        <f ca="1" t="shared" si="25"/>
        <v>#VALUE!</v>
      </c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162</v>
      </c>
      <c r="C786" s="73" t="s">
        <v>158</v>
      </c>
      <c r="D786" s="74" t="s">
        <v>166</v>
      </c>
      <c r="E786" s="79" t="s">
        <v>167</v>
      </c>
      <c r="F786" s="80"/>
      <c r="G786" s="81"/>
      <c r="H786" s="82"/>
      <c r="I786" s="118">
        <v>46084</v>
      </c>
      <c r="J786" s="73" t="s">
        <v>473</v>
      </c>
      <c r="K786" s="122"/>
      <c r="L786" s="120" t="e">
        <f t="shared" si="24"/>
        <v>#VALUE!</v>
      </c>
      <c r="M786" s="121" t="e">
        <f ca="1" t="shared" si="25"/>
        <v>#VALUE!</v>
      </c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1811</v>
      </c>
      <c r="C787" s="73" t="s">
        <v>228</v>
      </c>
      <c r="D787" s="74" t="s">
        <v>1812</v>
      </c>
      <c r="E787" s="79" t="s">
        <v>1813</v>
      </c>
      <c r="F787" s="80"/>
      <c r="G787" s="81"/>
      <c r="H787" s="78" t="s">
        <v>16</v>
      </c>
      <c r="I787" s="118">
        <v>46084</v>
      </c>
      <c r="J787" s="73">
        <v>3</v>
      </c>
      <c r="K787" s="122" t="s">
        <v>1814</v>
      </c>
      <c r="L787" s="120">
        <f t="shared" si="24"/>
        <v>46176</v>
      </c>
      <c r="M787" s="121">
        <f ca="1" t="shared" si="25"/>
        <v>73</v>
      </c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37</v>
      </c>
      <c r="C788" s="73" t="s">
        <v>13</v>
      </c>
      <c r="D788" s="74" t="s">
        <v>1815</v>
      </c>
      <c r="E788" s="79" t="s">
        <v>78</v>
      </c>
      <c r="F788" s="80"/>
      <c r="G788" s="81"/>
      <c r="H788" s="78" t="s">
        <v>16</v>
      </c>
      <c r="I788" s="118">
        <v>46085</v>
      </c>
      <c r="J788" s="73">
        <v>3</v>
      </c>
      <c r="K788" s="122" t="s">
        <v>1816</v>
      </c>
      <c r="L788" s="120">
        <f t="shared" si="24"/>
        <v>46177</v>
      </c>
      <c r="M788" s="121">
        <f ca="1" t="shared" si="25"/>
        <v>74</v>
      </c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12</v>
      </c>
      <c r="C789" s="73" t="s">
        <v>13</v>
      </c>
      <c r="D789" s="74" t="s">
        <v>1817</v>
      </c>
      <c r="E789" s="79" t="s">
        <v>78</v>
      </c>
      <c r="F789" s="80"/>
      <c r="G789" s="81"/>
      <c r="H789" s="78" t="s">
        <v>16</v>
      </c>
      <c r="I789" s="118">
        <v>46085</v>
      </c>
      <c r="J789" s="73">
        <v>3</v>
      </c>
      <c r="K789" s="122" t="s">
        <v>1818</v>
      </c>
      <c r="L789" s="120">
        <f t="shared" si="24"/>
        <v>46177</v>
      </c>
      <c r="M789" s="121">
        <f ca="1" t="shared" si="25"/>
        <v>74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1819</v>
      </c>
      <c r="C790" s="73" t="s">
        <v>13</v>
      </c>
      <c r="D790" s="74" t="s">
        <v>1820</v>
      </c>
      <c r="E790" s="79" t="s">
        <v>47</v>
      </c>
      <c r="F790" s="80"/>
      <c r="G790" s="81"/>
      <c r="H790" s="78" t="s">
        <v>16</v>
      </c>
      <c r="I790" s="118">
        <v>46085</v>
      </c>
      <c r="J790" s="73">
        <v>3</v>
      </c>
      <c r="K790" s="122" t="s">
        <v>1821</v>
      </c>
      <c r="L790" s="120">
        <f t="shared" si="24"/>
        <v>46177</v>
      </c>
      <c r="M790" s="121">
        <f ca="1" t="shared" si="25"/>
        <v>74</v>
      </c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78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1819</v>
      </c>
      <c r="C791" s="73" t="s">
        <v>27</v>
      </c>
      <c r="D791" s="74" t="s">
        <v>1822</v>
      </c>
      <c r="E791" s="79" t="s">
        <v>118</v>
      </c>
      <c r="F791" s="80"/>
      <c r="G791" s="81"/>
      <c r="H791" s="78" t="s">
        <v>16</v>
      </c>
      <c r="I791" s="118">
        <v>46085</v>
      </c>
      <c r="J791" s="73">
        <v>3</v>
      </c>
      <c r="K791" s="122" t="s">
        <v>1823</v>
      </c>
      <c r="L791" s="120">
        <f t="shared" si="24"/>
        <v>46177</v>
      </c>
      <c r="M791" s="121">
        <f ca="1" t="shared" si="25"/>
        <v>74</v>
      </c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1528</v>
      </c>
      <c r="C792" s="73" t="s">
        <v>13</v>
      </c>
      <c r="D792" s="74" t="s">
        <v>1824</v>
      </c>
      <c r="E792" s="79" t="s">
        <v>791</v>
      </c>
      <c r="F792" s="80"/>
      <c r="G792" s="81"/>
      <c r="H792" s="78" t="s">
        <v>16</v>
      </c>
      <c r="I792" s="118">
        <v>46085</v>
      </c>
      <c r="J792" s="73">
        <v>3</v>
      </c>
      <c r="K792" s="122" t="s">
        <v>1825</v>
      </c>
      <c r="L792" s="120">
        <f t="shared" si="24"/>
        <v>46177</v>
      </c>
      <c r="M792" s="121">
        <f ca="1" t="shared" si="25"/>
        <v>74</v>
      </c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162</v>
      </c>
      <c r="C793" s="73" t="s">
        <v>158</v>
      </c>
      <c r="D793" s="74" t="s">
        <v>1826</v>
      </c>
      <c r="E793" s="79" t="s">
        <v>167</v>
      </c>
      <c r="F793" s="80"/>
      <c r="G793" s="81"/>
      <c r="H793" s="82"/>
      <c r="I793" s="118">
        <v>46085</v>
      </c>
      <c r="J793" s="73">
        <v>3</v>
      </c>
      <c r="K793" s="122" t="s">
        <v>1827</v>
      </c>
      <c r="L793" s="120">
        <f t="shared" si="24"/>
        <v>46177</v>
      </c>
      <c r="M793" s="121">
        <f ca="1" t="shared" si="25"/>
        <v>74</v>
      </c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162</v>
      </c>
      <c r="C794" s="73" t="s">
        <v>158</v>
      </c>
      <c r="D794" s="74" t="s">
        <v>1828</v>
      </c>
      <c r="E794" s="79" t="s">
        <v>167</v>
      </c>
      <c r="F794" s="80"/>
      <c r="G794" s="81"/>
      <c r="H794" s="82"/>
      <c r="I794" s="118">
        <v>46085</v>
      </c>
      <c r="J794" s="73">
        <v>3</v>
      </c>
      <c r="K794" s="122" t="s">
        <v>1829</v>
      </c>
      <c r="L794" s="120">
        <f t="shared" si="24"/>
        <v>46177</v>
      </c>
      <c r="M794" s="121">
        <f ca="1" t="shared" si="25"/>
        <v>74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>
        <v>793</v>
      </c>
      <c r="B795" s="73" t="s">
        <v>1830</v>
      </c>
      <c r="C795" s="73" t="s">
        <v>158</v>
      </c>
      <c r="D795" s="74" t="s">
        <v>754</v>
      </c>
      <c r="E795" s="79" t="s">
        <v>158</v>
      </c>
      <c r="F795" s="80"/>
      <c r="G795" s="81"/>
      <c r="H795" s="82"/>
      <c r="I795" s="118">
        <v>46085</v>
      </c>
      <c r="J795" s="73" t="s">
        <v>473</v>
      </c>
      <c r="K795" s="122" t="s">
        <v>1831</v>
      </c>
      <c r="L795" s="120" t="e">
        <f t="shared" si="24"/>
        <v>#VALUE!</v>
      </c>
      <c r="M795" s="121" t="e">
        <f ca="1" t="shared" si="25"/>
        <v>#VALUE!</v>
      </c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>
        <v>794</v>
      </c>
      <c r="B796" s="73" t="s">
        <v>1832</v>
      </c>
      <c r="C796" s="73" t="s">
        <v>27</v>
      </c>
      <c r="D796" s="74" t="s">
        <v>1833</v>
      </c>
      <c r="E796" s="79" t="s">
        <v>1169</v>
      </c>
      <c r="F796" s="80"/>
      <c r="G796" s="81"/>
      <c r="H796" s="78" t="s">
        <v>16</v>
      </c>
      <c r="I796" s="118">
        <v>46085</v>
      </c>
      <c r="J796" s="73">
        <v>3</v>
      </c>
      <c r="K796" s="122" t="s">
        <v>1834</v>
      </c>
      <c r="L796" s="120">
        <f t="shared" si="24"/>
        <v>46177</v>
      </c>
      <c r="M796" s="121">
        <f ca="1" t="shared" si="25"/>
        <v>74</v>
      </c>
      <c r="N796" s="73"/>
      <c r="O796" s="73"/>
      <c r="P796" s="73"/>
      <c r="Q796" s="74"/>
      <c r="R796" s="79"/>
      <c r="S796" s="80"/>
      <c r="T796" s="81"/>
      <c r="U796" s="78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>
        <v>795</v>
      </c>
      <c r="B797" s="73" t="s">
        <v>82</v>
      </c>
      <c r="C797" s="73" t="s">
        <v>13</v>
      </c>
      <c r="D797" s="74" t="s">
        <v>1835</v>
      </c>
      <c r="E797" s="79" t="s">
        <v>25</v>
      </c>
      <c r="F797" s="80"/>
      <c r="G797" s="81"/>
      <c r="H797" s="82"/>
      <c r="I797" s="118">
        <v>46086</v>
      </c>
      <c r="J797" s="73">
        <v>3</v>
      </c>
      <c r="K797" s="122" t="s">
        <v>1836</v>
      </c>
      <c r="L797" s="120">
        <f t="shared" si="24"/>
        <v>46178</v>
      </c>
      <c r="M797" s="121">
        <f ca="1" t="shared" si="25"/>
        <v>75</v>
      </c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>
        <v>796</v>
      </c>
      <c r="B798" s="73" t="s">
        <v>82</v>
      </c>
      <c r="C798" s="73" t="s">
        <v>13</v>
      </c>
      <c r="D798" s="74" t="s">
        <v>1837</v>
      </c>
      <c r="E798" s="79" t="s">
        <v>47</v>
      </c>
      <c r="F798" s="80"/>
      <c r="G798" s="81"/>
      <c r="H798" s="82"/>
      <c r="I798" s="118">
        <v>46086</v>
      </c>
      <c r="J798" s="73">
        <v>3</v>
      </c>
      <c r="K798" s="122" t="s">
        <v>1838</v>
      </c>
      <c r="L798" s="120">
        <f t="shared" si="24"/>
        <v>46178</v>
      </c>
      <c r="M798" s="121">
        <f ca="1" t="shared" si="25"/>
        <v>75</v>
      </c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>
        <v>797</v>
      </c>
      <c r="B799" s="73" t="s">
        <v>140</v>
      </c>
      <c r="C799" s="73" t="s">
        <v>13</v>
      </c>
      <c r="D799" s="74" t="s">
        <v>1839</v>
      </c>
      <c r="E799" s="79" t="s">
        <v>78</v>
      </c>
      <c r="F799" s="80"/>
      <c r="G799" s="81"/>
      <c r="H799" s="82"/>
      <c r="I799" s="118">
        <v>46086</v>
      </c>
      <c r="J799" s="73">
        <v>3</v>
      </c>
      <c r="K799" s="122" t="s">
        <v>1840</v>
      </c>
      <c r="L799" s="120">
        <f t="shared" si="24"/>
        <v>46178</v>
      </c>
      <c r="M799" s="121">
        <f ca="1" t="shared" si="25"/>
        <v>75</v>
      </c>
      <c r="N799" s="73"/>
      <c r="O799" s="73"/>
      <c r="P799" s="73"/>
      <c r="Q799" s="74"/>
      <c r="R799" s="79"/>
      <c r="S799" s="80"/>
      <c r="T799" s="81"/>
      <c r="U799" s="89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89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>
        <v>798</v>
      </c>
      <c r="B800" s="273" t="s">
        <v>45</v>
      </c>
      <c r="C800" s="73" t="s">
        <v>27</v>
      </c>
      <c r="D800" s="74" t="s">
        <v>1841</v>
      </c>
      <c r="E800" s="79" t="s">
        <v>35</v>
      </c>
      <c r="F800" s="80"/>
      <c r="G800" s="81"/>
      <c r="H800" s="78" t="s">
        <v>16</v>
      </c>
      <c r="I800" s="118">
        <v>46086</v>
      </c>
      <c r="J800" s="73">
        <v>3</v>
      </c>
      <c r="K800" s="122" t="s">
        <v>1842</v>
      </c>
      <c r="L800" s="120">
        <f t="shared" si="24"/>
        <v>46178</v>
      </c>
      <c r="M800" s="121">
        <f ca="1" t="shared" si="25"/>
        <v>75</v>
      </c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ht="22.5" spans="1:52">
      <c r="A801" s="73">
        <v>799</v>
      </c>
      <c r="B801" s="273" t="s">
        <v>1163</v>
      </c>
      <c r="C801" s="259" t="s">
        <v>158</v>
      </c>
      <c r="D801" s="74" t="s">
        <v>589</v>
      </c>
      <c r="E801" s="110" t="s">
        <v>471</v>
      </c>
      <c r="F801" s="111"/>
      <c r="G801" s="112"/>
      <c r="H801" s="204"/>
      <c r="I801" s="118">
        <v>46086</v>
      </c>
      <c r="J801" s="73" t="s">
        <v>473</v>
      </c>
      <c r="K801" s="122"/>
      <c r="L801" s="120" t="e">
        <f t="shared" si="24"/>
        <v>#VALUE!</v>
      </c>
      <c r="M801" s="121" t="e">
        <f ca="1" t="shared" si="25"/>
        <v>#VALUE!</v>
      </c>
      <c r="N801" s="73"/>
      <c r="O801" s="73"/>
      <c r="P801" s="73"/>
      <c r="Q801" s="258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258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>
        <v>800</v>
      </c>
      <c r="B802" s="273" t="s">
        <v>157</v>
      </c>
      <c r="C802" s="259" t="s">
        <v>158</v>
      </c>
      <c r="D802" s="74" t="s">
        <v>589</v>
      </c>
      <c r="E802" s="110" t="s">
        <v>471</v>
      </c>
      <c r="F802" s="111"/>
      <c r="G802" s="112"/>
      <c r="H802" s="204"/>
      <c r="I802" s="118">
        <v>46086</v>
      </c>
      <c r="J802" s="73" t="s">
        <v>473</v>
      </c>
      <c r="K802" s="122"/>
      <c r="L802" s="120" t="e">
        <f t="shared" si="24"/>
        <v>#VALUE!</v>
      </c>
      <c r="M802" s="121" t="e">
        <f ca="1" t="shared" si="25"/>
        <v>#VALUE!</v>
      </c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>
        <v>801</v>
      </c>
      <c r="B803" s="273" t="s">
        <v>1342</v>
      </c>
      <c r="C803" s="259" t="s">
        <v>158</v>
      </c>
      <c r="D803" s="74" t="s">
        <v>589</v>
      </c>
      <c r="E803" s="110" t="s">
        <v>471</v>
      </c>
      <c r="F803" s="111"/>
      <c r="G803" s="112"/>
      <c r="H803" s="204"/>
      <c r="I803" s="118">
        <v>46086</v>
      </c>
      <c r="J803" s="73" t="s">
        <v>473</v>
      </c>
      <c r="K803" s="122"/>
      <c r="L803" s="120" t="e">
        <f t="shared" si="24"/>
        <v>#VALUE!</v>
      </c>
      <c r="M803" s="121" t="e">
        <f ca="1" t="shared" si="25"/>
        <v>#VALUE!</v>
      </c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130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>
        <v>802</v>
      </c>
      <c r="B804" s="273" t="s">
        <v>157</v>
      </c>
      <c r="C804" s="259" t="s">
        <v>158</v>
      </c>
      <c r="D804" s="74" t="s">
        <v>470</v>
      </c>
      <c r="E804" s="74" t="s">
        <v>464</v>
      </c>
      <c r="F804" s="274"/>
      <c r="G804" s="275"/>
      <c r="H804" s="204"/>
      <c r="I804" s="118">
        <v>46086</v>
      </c>
      <c r="J804" s="73" t="s">
        <v>473</v>
      </c>
      <c r="K804" s="122"/>
      <c r="L804" s="120" t="e">
        <f t="shared" si="24"/>
        <v>#VALUE!</v>
      </c>
      <c r="M804" s="121" t="e">
        <f ca="1" t="shared" si="25"/>
        <v>#VALUE!</v>
      </c>
      <c r="N804" s="73"/>
      <c r="O804" s="73"/>
      <c r="P804" s="73"/>
      <c r="Q804" s="74"/>
      <c r="R804" s="79"/>
      <c r="S804" s="80"/>
      <c r="T804" s="81"/>
      <c r="U804" s="130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>
        <v>803</v>
      </c>
      <c r="B805" s="273" t="s">
        <v>162</v>
      </c>
      <c r="C805" s="259" t="s">
        <v>158</v>
      </c>
      <c r="D805" s="74" t="s">
        <v>1843</v>
      </c>
      <c r="E805" s="74" t="s">
        <v>1844</v>
      </c>
      <c r="F805" s="274"/>
      <c r="G805" s="275"/>
      <c r="H805" s="204"/>
      <c r="I805" s="118">
        <v>46086</v>
      </c>
      <c r="J805" s="73">
        <v>3</v>
      </c>
      <c r="K805" s="122" t="s">
        <v>1845</v>
      </c>
      <c r="L805" s="120">
        <f t="shared" si="24"/>
        <v>46178</v>
      </c>
      <c r="M805" s="121">
        <f ca="1" t="shared" si="25"/>
        <v>75</v>
      </c>
      <c r="N805" s="73"/>
      <c r="O805" s="73"/>
      <c r="P805" s="73"/>
      <c r="Q805" s="74"/>
      <c r="R805" s="79"/>
      <c r="S805" s="80"/>
      <c r="T805" s="81"/>
      <c r="U805" s="82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>
        <v>804</v>
      </c>
      <c r="B806" s="273" t="s">
        <v>169</v>
      </c>
      <c r="C806" s="259" t="s">
        <v>158</v>
      </c>
      <c r="D806" s="74" t="s">
        <v>1846</v>
      </c>
      <c r="E806" s="74" t="s">
        <v>1668</v>
      </c>
      <c r="F806" s="274"/>
      <c r="G806" s="275"/>
      <c r="H806" s="204"/>
      <c r="I806" s="118">
        <v>46086</v>
      </c>
      <c r="J806" s="73">
        <v>3</v>
      </c>
      <c r="K806" s="122" t="s">
        <v>1847</v>
      </c>
      <c r="L806" s="120">
        <f t="shared" si="24"/>
        <v>46178</v>
      </c>
      <c r="M806" s="121">
        <f ca="1" t="shared" si="25"/>
        <v>75</v>
      </c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>
        <v>805</v>
      </c>
      <c r="B807" s="273" t="s">
        <v>397</v>
      </c>
      <c r="C807" s="259" t="s">
        <v>158</v>
      </c>
      <c r="D807" s="74" t="s">
        <v>1848</v>
      </c>
      <c r="E807" s="79" t="s">
        <v>1849</v>
      </c>
      <c r="F807" s="80"/>
      <c r="G807" s="81"/>
      <c r="H807" s="204"/>
      <c r="I807" s="118">
        <v>46086</v>
      </c>
      <c r="J807" s="73">
        <v>3</v>
      </c>
      <c r="K807" s="122" t="s">
        <v>1850</v>
      </c>
      <c r="L807" s="120">
        <f t="shared" si="24"/>
        <v>46178</v>
      </c>
      <c r="M807" s="121">
        <f ca="1" t="shared" si="25"/>
        <v>75</v>
      </c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>
        <v>806</v>
      </c>
      <c r="B808" s="273" t="s">
        <v>756</v>
      </c>
      <c r="C808" s="259" t="s">
        <v>158</v>
      </c>
      <c r="D808" s="74" t="s">
        <v>1674</v>
      </c>
      <c r="E808" s="79" t="s">
        <v>221</v>
      </c>
      <c r="F808" s="80"/>
      <c r="G808" s="81"/>
      <c r="H808" s="204"/>
      <c r="I808" s="118">
        <v>46086</v>
      </c>
      <c r="J808" s="73" t="s">
        <v>473</v>
      </c>
      <c r="K808" s="122"/>
      <c r="L808" s="120" t="e">
        <f t="shared" si="24"/>
        <v>#VALUE!</v>
      </c>
      <c r="M808" s="121" t="e">
        <f ca="1" t="shared" si="25"/>
        <v>#VALUE!</v>
      </c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>
        <v>807</v>
      </c>
      <c r="B809" s="273" t="s">
        <v>484</v>
      </c>
      <c r="C809" s="94" t="s">
        <v>228</v>
      </c>
      <c r="D809" s="74" t="s">
        <v>1851</v>
      </c>
      <c r="E809" s="74" t="s">
        <v>1852</v>
      </c>
      <c r="F809" s="274"/>
      <c r="G809" s="275"/>
      <c r="H809" s="78" t="s">
        <v>16</v>
      </c>
      <c r="I809" s="118">
        <v>46086</v>
      </c>
      <c r="J809" s="73">
        <v>3</v>
      </c>
      <c r="K809" s="122" t="s">
        <v>1853</v>
      </c>
      <c r="L809" s="120">
        <f t="shared" si="24"/>
        <v>46178</v>
      </c>
      <c r="M809" s="121">
        <f ca="1" t="shared" si="25"/>
        <v>75</v>
      </c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>
        <v>808</v>
      </c>
      <c r="B810" s="73" t="s">
        <v>82</v>
      </c>
      <c r="C810" s="73" t="s">
        <v>27</v>
      </c>
      <c r="D810" s="74" t="s">
        <v>1854</v>
      </c>
      <c r="E810" s="79" t="s">
        <v>43</v>
      </c>
      <c r="F810" s="80"/>
      <c r="G810" s="81"/>
      <c r="H810" s="82"/>
      <c r="I810" s="118">
        <v>46087</v>
      </c>
      <c r="J810" s="73">
        <v>3</v>
      </c>
      <c r="K810" s="122" t="s">
        <v>1855</v>
      </c>
      <c r="L810" s="120">
        <f t="shared" si="24"/>
        <v>46179</v>
      </c>
      <c r="M810" s="121">
        <f ca="1" t="shared" si="25"/>
        <v>76</v>
      </c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>
        <v>809</v>
      </c>
      <c r="B811" s="73" t="s">
        <v>82</v>
      </c>
      <c r="C811" s="73" t="s">
        <v>27</v>
      </c>
      <c r="D811" s="74" t="s">
        <v>1856</v>
      </c>
      <c r="E811" s="79" t="s">
        <v>1857</v>
      </c>
      <c r="F811" s="80"/>
      <c r="G811" s="81"/>
      <c r="H811" s="82"/>
      <c r="I811" s="118">
        <v>46087</v>
      </c>
      <c r="J811" s="73">
        <v>3</v>
      </c>
      <c r="K811" s="122" t="s">
        <v>1858</v>
      </c>
      <c r="L811" s="120">
        <f t="shared" si="24"/>
        <v>46179</v>
      </c>
      <c r="M811" s="121">
        <f ca="1" t="shared" si="25"/>
        <v>76</v>
      </c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>
        <v>810</v>
      </c>
      <c r="B812" s="73" t="s">
        <v>82</v>
      </c>
      <c r="C812" s="73" t="s">
        <v>27</v>
      </c>
      <c r="D812" s="74" t="s">
        <v>1859</v>
      </c>
      <c r="E812" s="79" t="s">
        <v>22</v>
      </c>
      <c r="F812" s="80"/>
      <c r="G812" s="81"/>
      <c r="H812" s="82"/>
      <c r="I812" s="118">
        <v>46087</v>
      </c>
      <c r="J812" s="73">
        <v>3</v>
      </c>
      <c r="K812" s="122" t="s">
        <v>1860</v>
      </c>
      <c r="L812" s="120">
        <f t="shared" si="24"/>
        <v>46179</v>
      </c>
      <c r="M812" s="121">
        <f ca="1" t="shared" si="25"/>
        <v>76</v>
      </c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>
        <v>811</v>
      </c>
      <c r="B813" s="73" t="s">
        <v>82</v>
      </c>
      <c r="C813" s="73" t="s">
        <v>13</v>
      </c>
      <c r="D813" s="74" t="s">
        <v>1861</v>
      </c>
      <c r="E813" s="79" t="s">
        <v>47</v>
      </c>
      <c r="F813" s="80"/>
      <c r="G813" s="81"/>
      <c r="H813" s="89" t="s">
        <v>16</v>
      </c>
      <c r="I813" s="118">
        <v>46087</v>
      </c>
      <c r="J813" s="73">
        <v>3</v>
      </c>
      <c r="K813" s="122" t="s">
        <v>1862</v>
      </c>
      <c r="L813" s="120">
        <f t="shared" si="24"/>
        <v>46179</v>
      </c>
      <c r="M813" s="121">
        <f ca="1" t="shared" si="25"/>
        <v>76</v>
      </c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>
        <v>812</v>
      </c>
      <c r="B814" s="73" t="s">
        <v>82</v>
      </c>
      <c r="C814" s="73" t="s">
        <v>13</v>
      </c>
      <c r="D814" s="74" t="s">
        <v>1863</v>
      </c>
      <c r="E814" s="79" t="s">
        <v>507</v>
      </c>
      <c r="F814" s="80"/>
      <c r="G814" s="81"/>
      <c r="H814" s="82"/>
      <c r="I814" s="118">
        <v>46087</v>
      </c>
      <c r="J814" s="73">
        <v>3</v>
      </c>
      <c r="K814" s="122" t="s">
        <v>1864</v>
      </c>
      <c r="L814" s="120">
        <f t="shared" si="24"/>
        <v>46179</v>
      </c>
      <c r="M814" s="121">
        <f ca="1" t="shared" si="25"/>
        <v>76</v>
      </c>
      <c r="N814" s="73"/>
      <c r="O814" s="73"/>
      <c r="P814" s="73"/>
      <c r="Q814" s="74"/>
      <c r="R814" s="79"/>
      <c r="S814" s="80"/>
      <c r="T814" s="81"/>
      <c r="U814" s="82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>
        <v>813</v>
      </c>
      <c r="B815" s="73" t="s">
        <v>82</v>
      </c>
      <c r="C815" s="73" t="s">
        <v>13</v>
      </c>
      <c r="D815" s="74" t="s">
        <v>1865</v>
      </c>
      <c r="E815" s="79" t="s">
        <v>608</v>
      </c>
      <c r="F815" s="80"/>
      <c r="G815" s="81"/>
      <c r="H815" s="89" t="s">
        <v>16</v>
      </c>
      <c r="I815" s="118">
        <v>46087</v>
      </c>
      <c r="J815" s="73">
        <v>3</v>
      </c>
      <c r="K815" s="122" t="s">
        <v>1866</v>
      </c>
      <c r="L815" s="120">
        <f t="shared" si="24"/>
        <v>46179</v>
      </c>
      <c r="M815" s="121">
        <f ca="1" t="shared" si="25"/>
        <v>76</v>
      </c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>
        <v>814</v>
      </c>
      <c r="B816" s="73" t="s">
        <v>82</v>
      </c>
      <c r="C816" s="73" t="s">
        <v>13</v>
      </c>
      <c r="D816" s="74" t="s">
        <v>1867</v>
      </c>
      <c r="E816" s="79" t="s">
        <v>25</v>
      </c>
      <c r="F816" s="80"/>
      <c r="G816" s="81"/>
      <c r="H816" s="89" t="s">
        <v>16</v>
      </c>
      <c r="I816" s="118">
        <v>46087</v>
      </c>
      <c r="J816" s="73">
        <v>3</v>
      </c>
      <c r="K816" s="122" t="s">
        <v>1868</v>
      </c>
      <c r="L816" s="120">
        <f t="shared" si="24"/>
        <v>46179</v>
      </c>
      <c r="M816" s="121">
        <f ca="1" t="shared" si="25"/>
        <v>76</v>
      </c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>
        <v>815</v>
      </c>
      <c r="B817" s="73" t="s">
        <v>484</v>
      </c>
      <c r="C817" s="73" t="s">
        <v>228</v>
      </c>
      <c r="D817" s="74" t="s">
        <v>1869</v>
      </c>
      <c r="E817" s="79" t="s">
        <v>1870</v>
      </c>
      <c r="F817" s="80"/>
      <c r="G817" s="81"/>
      <c r="H817" s="89" t="s">
        <v>16</v>
      </c>
      <c r="I817" s="118">
        <v>46087</v>
      </c>
      <c r="J817" s="73">
        <v>3</v>
      </c>
      <c r="K817" s="122" t="s">
        <v>1871</v>
      </c>
      <c r="L817" s="120">
        <f t="shared" si="24"/>
        <v>46179</v>
      </c>
      <c r="M817" s="121">
        <f ca="1" t="shared" si="25"/>
        <v>76</v>
      </c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>
        <v>816</v>
      </c>
      <c r="B818" s="73" t="s">
        <v>636</v>
      </c>
      <c r="C818" s="73" t="s">
        <v>228</v>
      </c>
      <c r="D818" s="74" t="s">
        <v>1872</v>
      </c>
      <c r="E818" s="79" t="s">
        <v>1873</v>
      </c>
      <c r="F818" s="80"/>
      <c r="G818" s="81"/>
      <c r="H818" s="89" t="s">
        <v>16</v>
      </c>
      <c r="I818" s="118">
        <v>46087</v>
      </c>
      <c r="J818" s="73">
        <v>3</v>
      </c>
      <c r="K818" s="122" t="s">
        <v>1874</v>
      </c>
      <c r="L818" s="120">
        <f t="shared" si="24"/>
        <v>46179</v>
      </c>
      <c r="M818" s="121">
        <f ca="1" t="shared" si="25"/>
        <v>76</v>
      </c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>
        <v>817</v>
      </c>
      <c r="B819" s="73" t="s">
        <v>227</v>
      </c>
      <c r="C819" s="73" t="s">
        <v>228</v>
      </c>
      <c r="D819" s="74" t="s">
        <v>1875</v>
      </c>
      <c r="E819" s="79" t="s">
        <v>230</v>
      </c>
      <c r="F819" s="80"/>
      <c r="G819" s="81"/>
      <c r="H819" s="82"/>
      <c r="I819" s="118">
        <v>46087</v>
      </c>
      <c r="J819" s="73">
        <v>3</v>
      </c>
      <c r="K819" s="122" t="s">
        <v>1876</v>
      </c>
      <c r="L819" s="120">
        <f t="shared" si="24"/>
        <v>46179</v>
      </c>
      <c r="M819" s="121">
        <f ca="1" t="shared" si="25"/>
        <v>76</v>
      </c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>
        <v>818</v>
      </c>
      <c r="B820" s="73" t="s">
        <v>227</v>
      </c>
      <c r="C820" s="73" t="s">
        <v>228</v>
      </c>
      <c r="D820" s="74" t="s">
        <v>1877</v>
      </c>
      <c r="E820" s="79" t="s">
        <v>1878</v>
      </c>
      <c r="F820" s="80"/>
      <c r="G820" s="81"/>
      <c r="H820" s="89" t="s">
        <v>16</v>
      </c>
      <c r="I820" s="118">
        <v>46087</v>
      </c>
      <c r="J820" s="73">
        <v>3</v>
      </c>
      <c r="K820" s="122" t="s">
        <v>1879</v>
      </c>
      <c r="L820" s="120">
        <f t="shared" si="24"/>
        <v>46179</v>
      </c>
      <c r="M820" s="121">
        <f ca="1" t="shared" si="25"/>
        <v>76</v>
      </c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>
        <v>819</v>
      </c>
      <c r="B821" s="73" t="s">
        <v>82</v>
      </c>
      <c r="C821" s="73" t="s">
        <v>13</v>
      </c>
      <c r="D821" s="74" t="s">
        <v>1880</v>
      </c>
      <c r="E821" s="79" t="s">
        <v>1881</v>
      </c>
      <c r="F821" s="80"/>
      <c r="G821" s="81"/>
      <c r="H821" s="89" t="s">
        <v>16</v>
      </c>
      <c r="I821" s="118">
        <v>46088</v>
      </c>
      <c r="J821" s="73">
        <v>3</v>
      </c>
      <c r="K821" s="122" t="s">
        <v>1882</v>
      </c>
      <c r="L821" s="120">
        <f t="shared" si="24"/>
        <v>46180</v>
      </c>
      <c r="M821" s="121">
        <f ca="1" t="shared" si="25"/>
        <v>77</v>
      </c>
      <c r="N821" s="73"/>
      <c r="O821" s="73"/>
      <c r="P821" s="73"/>
      <c r="Q821" s="74"/>
      <c r="R821" s="79"/>
      <c r="S821" s="80"/>
      <c r="T821" s="81"/>
      <c r="U821" s="78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>
        <v>820</v>
      </c>
      <c r="B822" s="73" t="s">
        <v>12</v>
      </c>
      <c r="C822" s="73" t="s">
        <v>27</v>
      </c>
      <c r="D822" s="74" t="s">
        <v>1883</v>
      </c>
      <c r="E822" s="79" t="s">
        <v>22</v>
      </c>
      <c r="F822" s="80"/>
      <c r="G822" s="81"/>
      <c r="H822" s="89" t="s">
        <v>16</v>
      </c>
      <c r="I822" s="118">
        <v>46088</v>
      </c>
      <c r="J822" s="73">
        <v>3</v>
      </c>
      <c r="K822" s="122" t="s">
        <v>1884</v>
      </c>
      <c r="L822" s="120">
        <f t="shared" si="24"/>
        <v>46180</v>
      </c>
      <c r="M822" s="121">
        <f ca="1" t="shared" si="25"/>
        <v>77</v>
      </c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>
        <v>821</v>
      </c>
      <c r="B823" s="73" t="s">
        <v>443</v>
      </c>
      <c r="C823" s="73" t="s">
        <v>13</v>
      </c>
      <c r="D823" s="74" t="s">
        <v>1885</v>
      </c>
      <c r="E823" s="79" t="s">
        <v>25</v>
      </c>
      <c r="F823" s="80"/>
      <c r="G823" s="81"/>
      <c r="H823" s="89" t="s">
        <v>16</v>
      </c>
      <c r="I823" s="118">
        <v>46088</v>
      </c>
      <c r="J823" s="73">
        <v>3</v>
      </c>
      <c r="K823" s="122" t="s">
        <v>1886</v>
      </c>
      <c r="L823" s="120">
        <f t="shared" si="24"/>
        <v>46180</v>
      </c>
      <c r="M823" s="121">
        <f ca="1" t="shared" si="25"/>
        <v>77</v>
      </c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>
        <v>822</v>
      </c>
      <c r="B824" s="73" t="s">
        <v>448</v>
      </c>
      <c r="C824" s="73" t="s">
        <v>13</v>
      </c>
      <c r="D824" s="74" t="s">
        <v>1887</v>
      </c>
      <c r="E824" s="79" t="s">
        <v>22</v>
      </c>
      <c r="F824" s="80"/>
      <c r="G824" s="81"/>
      <c r="H824" s="89" t="s">
        <v>16</v>
      </c>
      <c r="I824" s="118">
        <v>46088</v>
      </c>
      <c r="J824" s="73">
        <v>3</v>
      </c>
      <c r="K824" s="122" t="s">
        <v>1888</v>
      </c>
      <c r="L824" s="120">
        <f t="shared" si="24"/>
        <v>46180</v>
      </c>
      <c r="M824" s="121">
        <f ca="1" t="shared" si="25"/>
        <v>77</v>
      </c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>
        <v>823</v>
      </c>
      <c r="B825" s="73" t="s">
        <v>162</v>
      </c>
      <c r="C825" s="73" t="s">
        <v>158</v>
      </c>
      <c r="D825" s="74" t="s">
        <v>166</v>
      </c>
      <c r="E825" s="79" t="s">
        <v>167</v>
      </c>
      <c r="F825" s="80"/>
      <c r="G825" s="81"/>
      <c r="H825" s="82"/>
      <c r="I825" s="118">
        <v>46088</v>
      </c>
      <c r="J825" s="73" t="s">
        <v>473</v>
      </c>
      <c r="K825" s="122"/>
      <c r="L825" s="120" t="e">
        <f t="shared" si="24"/>
        <v>#VALUE!</v>
      </c>
      <c r="M825" s="121" t="e">
        <f ca="1" t="shared" si="25"/>
        <v>#VALUE!</v>
      </c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>
        <v>824</v>
      </c>
      <c r="B826" s="73" t="s">
        <v>162</v>
      </c>
      <c r="C826" s="73" t="s">
        <v>158</v>
      </c>
      <c r="D826" s="74" t="s">
        <v>965</v>
      </c>
      <c r="E826" s="79" t="s">
        <v>1714</v>
      </c>
      <c r="F826" s="80"/>
      <c r="G826" s="81"/>
      <c r="H826" s="82"/>
      <c r="I826" s="118">
        <v>46088</v>
      </c>
      <c r="J826" s="73" t="s">
        <v>473</v>
      </c>
      <c r="K826" s="122"/>
      <c r="L826" s="120" t="e">
        <f t="shared" si="24"/>
        <v>#VALUE!</v>
      </c>
      <c r="M826" s="121" t="e">
        <f ca="1" t="shared" si="25"/>
        <v>#VALUE!</v>
      </c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>
        <v>825</v>
      </c>
      <c r="B827" s="73" t="s">
        <v>466</v>
      </c>
      <c r="C827" s="73" t="s">
        <v>158</v>
      </c>
      <c r="D827" s="74" t="s">
        <v>467</v>
      </c>
      <c r="E827" s="79" t="s">
        <v>1849</v>
      </c>
      <c r="F827" s="80"/>
      <c r="G827" s="81"/>
      <c r="H827" s="82"/>
      <c r="I827" s="118">
        <v>46088</v>
      </c>
      <c r="J827" s="73" t="s">
        <v>473</v>
      </c>
      <c r="K827" s="122"/>
      <c r="L827" s="120" t="e">
        <f t="shared" si="24"/>
        <v>#VALUE!</v>
      </c>
      <c r="M827" s="121" t="e">
        <f ca="1" t="shared" si="25"/>
        <v>#VALUE!</v>
      </c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>
        <v>826</v>
      </c>
      <c r="B828" s="73" t="s">
        <v>466</v>
      </c>
      <c r="C828" s="73" t="s">
        <v>158</v>
      </c>
      <c r="D828" s="74" t="s">
        <v>467</v>
      </c>
      <c r="E828" s="79" t="s">
        <v>1849</v>
      </c>
      <c r="F828" s="80"/>
      <c r="G828" s="81"/>
      <c r="H828" s="82"/>
      <c r="I828" s="118">
        <v>46088</v>
      </c>
      <c r="J828" s="73" t="s">
        <v>473</v>
      </c>
      <c r="K828" s="122"/>
      <c r="L828" s="120" t="e">
        <f t="shared" si="24"/>
        <v>#VALUE!</v>
      </c>
      <c r="M828" s="121" t="e">
        <f ca="1" t="shared" si="25"/>
        <v>#VALUE!</v>
      </c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>
        <v>827</v>
      </c>
      <c r="B829" s="73" t="s">
        <v>324</v>
      </c>
      <c r="C829" s="73" t="s">
        <v>228</v>
      </c>
      <c r="D829" s="74" t="s">
        <v>1716</v>
      </c>
      <c r="E829" s="79" t="s">
        <v>1889</v>
      </c>
      <c r="F829" s="80"/>
      <c r="G829" s="81"/>
      <c r="H829" s="82"/>
      <c r="I829" s="118">
        <v>46088</v>
      </c>
      <c r="J829" s="73">
        <v>3</v>
      </c>
      <c r="K829" s="122" t="s">
        <v>1890</v>
      </c>
      <c r="L829" s="120">
        <f t="shared" si="24"/>
        <v>46180</v>
      </c>
      <c r="M829" s="121">
        <f ca="1" t="shared" si="25"/>
        <v>77</v>
      </c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>
        <v>828</v>
      </c>
      <c r="B830" s="73" t="s">
        <v>82</v>
      </c>
      <c r="C830" s="73" t="s">
        <v>13</v>
      </c>
      <c r="D830" s="74" t="s">
        <v>1891</v>
      </c>
      <c r="E830" s="79" t="s">
        <v>372</v>
      </c>
      <c r="F830" s="80"/>
      <c r="G830" s="81"/>
      <c r="H830" s="89" t="s">
        <v>16</v>
      </c>
      <c r="I830" s="118">
        <v>46088</v>
      </c>
      <c r="J830" s="73">
        <v>3</v>
      </c>
      <c r="K830" s="122" t="s">
        <v>1892</v>
      </c>
      <c r="L830" s="120">
        <f t="shared" si="24"/>
        <v>46180</v>
      </c>
      <c r="M830" s="121">
        <f ca="1" t="shared" si="25"/>
        <v>77</v>
      </c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>
        <v>829</v>
      </c>
      <c r="B831" s="73" t="s">
        <v>731</v>
      </c>
      <c r="C831" s="73" t="s">
        <v>27</v>
      </c>
      <c r="D831" s="74" t="s">
        <v>1893</v>
      </c>
      <c r="E831" s="79" t="s">
        <v>118</v>
      </c>
      <c r="F831" s="80"/>
      <c r="G831" s="81"/>
      <c r="H831" s="89" t="s">
        <v>16</v>
      </c>
      <c r="I831" s="118">
        <v>46089</v>
      </c>
      <c r="J831" s="73">
        <v>3</v>
      </c>
      <c r="K831" s="122" t="s">
        <v>1894</v>
      </c>
      <c r="L831" s="120">
        <f t="shared" si="24"/>
        <v>46181</v>
      </c>
      <c r="M831" s="121">
        <f ca="1" t="shared" si="25"/>
        <v>78</v>
      </c>
      <c r="N831" s="73"/>
      <c r="O831" s="73"/>
      <c r="P831" s="73"/>
      <c r="Q831" s="74"/>
      <c r="R831" s="79"/>
      <c r="S831" s="80"/>
      <c r="T831" s="81"/>
      <c r="U831" s="78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>
        <v>830</v>
      </c>
      <c r="B832" s="73" t="s">
        <v>731</v>
      </c>
      <c r="C832" s="73" t="s">
        <v>13</v>
      </c>
      <c r="D832" s="74" t="s">
        <v>1895</v>
      </c>
      <c r="E832" s="79" t="s">
        <v>47</v>
      </c>
      <c r="F832" s="80"/>
      <c r="G832" s="81"/>
      <c r="H832" s="82"/>
      <c r="I832" s="118">
        <v>46089</v>
      </c>
      <c r="J832" s="73">
        <v>3</v>
      </c>
      <c r="K832" s="122" t="s">
        <v>1896</v>
      </c>
      <c r="L832" s="120">
        <f t="shared" si="24"/>
        <v>46181</v>
      </c>
      <c r="M832" s="121">
        <f ca="1" t="shared" si="25"/>
        <v>78</v>
      </c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>
        <v>831</v>
      </c>
      <c r="B833" s="73" t="s">
        <v>88</v>
      </c>
      <c r="C833" s="73" t="s">
        <v>27</v>
      </c>
      <c r="D833" s="74" t="s">
        <v>1897</v>
      </c>
      <c r="E833" s="79" t="s">
        <v>118</v>
      </c>
      <c r="F833" s="80"/>
      <c r="G833" s="81"/>
      <c r="H833" s="89" t="s">
        <v>16</v>
      </c>
      <c r="I833" s="118">
        <v>46089</v>
      </c>
      <c r="J833" s="73">
        <v>3</v>
      </c>
      <c r="K833" s="122" t="s">
        <v>1898</v>
      </c>
      <c r="L833" s="120">
        <f t="shared" si="24"/>
        <v>46181</v>
      </c>
      <c r="M833" s="121">
        <f ca="1" t="shared" si="25"/>
        <v>78</v>
      </c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>
        <v>832</v>
      </c>
      <c r="B834" s="73" t="s">
        <v>169</v>
      </c>
      <c r="C834" s="73" t="s">
        <v>158</v>
      </c>
      <c r="D834" s="74" t="s">
        <v>1899</v>
      </c>
      <c r="E834" s="79" t="s">
        <v>167</v>
      </c>
      <c r="F834" s="80"/>
      <c r="G834" s="81"/>
      <c r="H834" s="82"/>
      <c r="I834" s="118">
        <v>46089</v>
      </c>
      <c r="J834" s="73">
        <v>3</v>
      </c>
      <c r="K834" s="122" t="s">
        <v>1900</v>
      </c>
      <c r="L834" s="120">
        <f t="shared" si="24"/>
        <v>46181</v>
      </c>
      <c r="M834" s="121">
        <f ca="1" t="shared" si="25"/>
        <v>78</v>
      </c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>
        <v>833</v>
      </c>
      <c r="B835" s="73" t="s">
        <v>169</v>
      </c>
      <c r="C835" s="73" t="s">
        <v>158</v>
      </c>
      <c r="D835" s="74" t="s">
        <v>1611</v>
      </c>
      <c r="E835" s="79" t="s">
        <v>221</v>
      </c>
      <c r="F835" s="80"/>
      <c r="G835" s="81"/>
      <c r="H835" s="82"/>
      <c r="I835" s="118">
        <v>46089</v>
      </c>
      <c r="J835" s="73" t="s">
        <v>473</v>
      </c>
      <c r="K835" s="122"/>
      <c r="L835" s="120" t="e">
        <f t="shared" ref="L835:L898" si="26">EDATE(I835,J835)</f>
        <v>#VALUE!</v>
      </c>
      <c r="M835" s="121" t="e">
        <f ca="1" t="shared" ref="M835:M898" si="27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>
        <v>834</v>
      </c>
      <c r="B836" s="73" t="s">
        <v>181</v>
      </c>
      <c r="C836" s="73" t="s">
        <v>158</v>
      </c>
      <c r="D836" s="74" t="s">
        <v>1901</v>
      </c>
      <c r="E836" s="79" t="s">
        <v>1902</v>
      </c>
      <c r="F836" s="80"/>
      <c r="G836" s="81"/>
      <c r="H836" s="82"/>
      <c r="I836" s="118">
        <v>46089</v>
      </c>
      <c r="J836" s="73">
        <v>3</v>
      </c>
      <c r="K836" s="122" t="s">
        <v>1903</v>
      </c>
      <c r="L836" s="120">
        <f t="shared" si="26"/>
        <v>46181</v>
      </c>
      <c r="M836" s="121">
        <f ca="1" t="shared" si="27"/>
        <v>78</v>
      </c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>
        <v>835</v>
      </c>
      <c r="B837" s="73" t="s">
        <v>181</v>
      </c>
      <c r="C837" s="73" t="s">
        <v>158</v>
      </c>
      <c r="D837" s="74" t="s">
        <v>1667</v>
      </c>
      <c r="E837" s="79" t="s">
        <v>1668</v>
      </c>
      <c r="F837" s="80"/>
      <c r="G837" s="81"/>
      <c r="H837" s="82"/>
      <c r="I837" s="118">
        <v>46089</v>
      </c>
      <c r="J837" s="73" t="s">
        <v>473</v>
      </c>
      <c r="K837" s="122"/>
      <c r="L837" s="120" t="e">
        <f t="shared" si="26"/>
        <v>#VALUE!</v>
      </c>
      <c r="M837" s="121" t="e">
        <f ca="1" t="shared" si="27"/>
        <v>#VALUE!</v>
      </c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>
        <v>836</v>
      </c>
      <c r="B838" s="73" t="s">
        <v>466</v>
      </c>
      <c r="C838" s="73" t="s">
        <v>158</v>
      </c>
      <c r="D838" s="74" t="s">
        <v>1019</v>
      </c>
      <c r="E838" s="106" t="s">
        <v>586</v>
      </c>
      <c r="F838" s="107"/>
      <c r="G838" s="108"/>
      <c r="H838" s="82"/>
      <c r="I838" s="118">
        <v>46089</v>
      </c>
      <c r="J838" s="73" t="s">
        <v>473</v>
      </c>
      <c r="K838" s="122"/>
      <c r="L838" s="120" t="e">
        <f t="shared" si="26"/>
        <v>#VALUE!</v>
      </c>
      <c r="M838" s="121" t="e">
        <f ca="1" t="shared" si="27"/>
        <v>#VALUE!</v>
      </c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>
        <v>837</v>
      </c>
      <c r="B839" s="73" t="s">
        <v>223</v>
      </c>
      <c r="C839" s="73" t="s">
        <v>158</v>
      </c>
      <c r="D839" s="74" t="s">
        <v>224</v>
      </c>
      <c r="E839" s="79" t="s">
        <v>225</v>
      </c>
      <c r="F839" s="80"/>
      <c r="G839" s="81"/>
      <c r="H839" s="82"/>
      <c r="I839" s="118">
        <v>46089</v>
      </c>
      <c r="J839" s="73" t="s">
        <v>473</v>
      </c>
      <c r="K839" s="122"/>
      <c r="L839" s="120" t="e">
        <f t="shared" si="26"/>
        <v>#VALUE!</v>
      </c>
      <c r="M839" s="121" t="e">
        <f ca="1" t="shared" si="27"/>
        <v>#VALUE!</v>
      </c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>
        <v>838</v>
      </c>
      <c r="B840" s="73" t="s">
        <v>484</v>
      </c>
      <c r="C840" s="73" t="s">
        <v>228</v>
      </c>
      <c r="D840" s="74" t="s">
        <v>1904</v>
      </c>
      <c r="E840" s="79" t="s">
        <v>1905</v>
      </c>
      <c r="F840" s="80"/>
      <c r="G840" s="81"/>
      <c r="H840" s="89" t="s">
        <v>16</v>
      </c>
      <c r="I840" s="118">
        <v>46089</v>
      </c>
      <c r="J840" s="73">
        <v>3</v>
      </c>
      <c r="K840" s="122" t="s">
        <v>1906</v>
      </c>
      <c r="L840" s="120">
        <f t="shared" si="26"/>
        <v>46181</v>
      </c>
      <c r="M840" s="121">
        <f ca="1" t="shared" si="27"/>
        <v>78</v>
      </c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>
        <v>838</v>
      </c>
      <c r="B841" s="73" t="s">
        <v>484</v>
      </c>
      <c r="C841" s="73" t="s">
        <v>228</v>
      </c>
      <c r="D841" s="74" t="s">
        <v>1907</v>
      </c>
      <c r="E841" s="106" t="s">
        <v>1852</v>
      </c>
      <c r="F841" s="107"/>
      <c r="G841" s="108"/>
      <c r="H841" s="89" t="s">
        <v>16</v>
      </c>
      <c r="I841" s="118">
        <v>46089</v>
      </c>
      <c r="J841" s="73">
        <v>3</v>
      </c>
      <c r="K841" s="122" t="s">
        <v>1908</v>
      </c>
      <c r="L841" s="120">
        <f t="shared" si="26"/>
        <v>46181</v>
      </c>
      <c r="M841" s="121">
        <f ca="1" t="shared" si="27"/>
        <v>78</v>
      </c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>
        <v>839</v>
      </c>
      <c r="B842" s="73" t="s">
        <v>484</v>
      </c>
      <c r="C842" s="73" t="s">
        <v>228</v>
      </c>
      <c r="D842" s="74" t="s">
        <v>1909</v>
      </c>
      <c r="E842" s="79" t="s">
        <v>1910</v>
      </c>
      <c r="F842" s="80"/>
      <c r="G842" s="81"/>
      <c r="H842" s="89" t="s">
        <v>16</v>
      </c>
      <c r="I842" s="118">
        <v>46089</v>
      </c>
      <c r="J842" s="73">
        <v>3</v>
      </c>
      <c r="K842" s="122" t="s">
        <v>1911</v>
      </c>
      <c r="L842" s="120">
        <f t="shared" si="26"/>
        <v>46181</v>
      </c>
      <c r="M842" s="121">
        <f ca="1" t="shared" si="27"/>
        <v>78</v>
      </c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>
        <v>840</v>
      </c>
      <c r="B843" s="73" t="s">
        <v>484</v>
      </c>
      <c r="C843" s="73" t="s">
        <v>228</v>
      </c>
      <c r="D843" s="74" t="s">
        <v>1912</v>
      </c>
      <c r="E843" s="79" t="s">
        <v>1852</v>
      </c>
      <c r="F843" s="80"/>
      <c r="G843" s="81"/>
      <c r="H843" s="89" t="s">
        <v>16</v>
      </c>
      <c r="I843" s="118">
        <v>46089</v>
      </c>
      <c r="J843" s="73">
        <v>3</v>
      </c>
      <c r="K843" s="122" t="s">
        <v>1913</v>
      </c>
      <c r="L843" s="120">
        <f t="shared" si="26"/>
        <v>46181</v>
      </c>
      <c r="M843" s="121">
        <f ca="1" t="shared" si="27"/>
        <v>78</v>
      </c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>
        <v>841</v>
      </c>
      <c r="B844" s="73" t="s">
        <v>12</v>
      </c>
      <c r="C844" s="73" t="s">
        <v>13</v>
      </c>
      <c r="D844" s="74" t="s">
        <v>1914</v>
      </c>
      <c r="E844" s="79" t="s">
        <v>78</v>
      </c>
      <c r="F844" s="80"/>
      <c r="G844" s="81"/>
      <c r="H844" s="89" t="s">
        <v>16</v>
      </c>
      <c r="I844" s="118">
        <v>46090</v>
      </c>
      <c r="J844" s="73">
        <v>3</v>
      </c>
      <c r="K844" s="122" t="s">
        <v>1915</v>
      </c>
      <c r="L844" s="120">
        <f t="shared" si="26"/>
        <v>46182</v>
      </c>
      <c r="M844" s="121">
        <f ca="1" t="shared" si="27"/>
        <v>79</v>
      </c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>
        <v>842</v>
      </c>
      <c r="B845" s="73" t="s">
        <v>1581</v>
      </c>
      <c r="C845" s="73" t="s">
        <v>27</v>
      </c>
      <c r="D845" s="74" t="s">
        <v>1916</v>
      </c>
      <c r="E845" s="79" t="s">
        <v>90</v>
      </c>
      <c r="F845" s="80"/>
      <c r="G845" s="81"/>
      <c r="H845" s="89" t="s">
        <v>16</v>
      </c>
      <c r="I845" s="118">
        <v>46090</v>
      </c>
      <c r="J845" s="73">
        <v>3</v>
      </c>
      <c r="K845" s="122" t="s">
        <v>1917</v>
      </c>
      <c r="L845" s="120">
        <f t="shared" si="26"/>
        <v>46182</v>
      </c>
      <c r="M845" s="121">
        <f ca="1" t="shared" si="27"/>
        <v>79</v>
      </c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73"/>
      <c r="AP845" s="73"/>
      <c r="AQ845" s="74"/>
      <c r="AR845" s="79"/>
      <c r="AS845" s="80"/>
      <c r="AT845" s="81"/>
      <c r="AU845" s="89"/>
      <c r="AV845" s="158"/>
      <c r="AW845" s="152"/>
      <c r="AX845" s="122"/>
      <c r="AY845" s="120"/>
      <c r="AZ845" s="121"/>
    </row>
    <row r="846" spans="1:52">
      <c r="A846" s="73">
        <v>843</v>
      </c>
      <c r="B846" s="73" t="s">
        <v>1581</v>
      </c>
      <c r="C846" s="73" t="s">
        <v>27</v>
      </c>
      <c r="D846" s="74" t="s">
        <v>1918</v>
      </c>
      <c r="E846" s="79" t="s">
        <v>22</v>
      </c>
      <c r="F846" s="80"/>
      <c r="G846" s="81"/>
      <c r="H846" s="89" t="s">
        <v>16</v>
      </c>
      <c r="I846" s="118">
        <v>46090</v>
      </c>
      <c r="J846" s="73">
        <v>3</v>
      </c>
      <c r="K846" s="122" t="s">
        <v>1919</v>
      </c>
      <c r="L846" s="120">
        <f t="shared" si="26"/>
        <v>46182</v>
      </c>
      <c r="M846" s="121">
        <f ca="1" t="shared" si="27"/>
        <v>79</v>
      </c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>
        <v>844</v>
      </c>
      <c r="B847" s="73" t="s">
        <v>1581</v>
      </c>
      <c r="C847" s="73" t="s">
        <v>27</v>
      </c>
      <c r="D847" s="74" t="s">
        <v>1920</v>
      </c>
      <c r="E847" s="79" t="s">
        <v>1921</v>
      </c>
      <c r="F847" s="80"/>
      <c r="G847" s="81"/>
      <c r="H847" s="89" t="s">
        <v>16</v>
      </c>
      <c r="I847" s="118">
        <v>46090</v>
      </c>
      <c r="J847" s="73">
        <v>3</v>
      </c>
      <c r="K847" s="122" t="s">
        <v>1922</v>
      </c>
      <c r="L847" s="120">
        <f t="shared" si="26"/>
        <v>46182</v>
      </c>
      <c r="M847" s="121">
        <f ca="1" t="shared" si="27"/>
        <v>79</v>
      </c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>
        <v>845</v>
      </c>
      <c r="B848" s="73" t="s">
        <v>1581</v>
      </c>
      <c r="C848" s="73" t="s">
        <v>27</v>
      </c>
      <c r="D848" s="74" t="s">
        <v>1923</v>
      </c>
      <c r="E848" s="79" t="s">
        <v>90</v>
      </c>
      <c r="F848" s="80"/>
      <c r="G848" s="81"/>
      <c r="H848" s="89" t="s">
        <v>16</v>
      </c>
      <c r="I848" s="118">
        <v>46090</v>
      </c>
      <c r="J848" s="73">
        <v>3</v>
      </c>
      <c r="K848" s="122" t="s">
        <v>1924</v>
      </c>
      <c r="L848" s="120">
        <f t="shared" si="26"/>
        <v>46182</v>
      </c>
      <c r="M848" s="121">
        <f ca="1" t="shared" si="27"/>
        <v>79</v>
      </c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>
        <v>846</v>
      </c>
      <c r="B849" s="73" t="s">
        <v>1581</v>
      </c>
      <c r="C849" s="73" t="s">
        <v>13</v>
      </c>
      <c r="D849" s="74" t="s">
        <v>1925</v>
      </c>
      <c r="E849" s="79" t="s">
        <v>1926</v>
      </c>
      <c r="F849" s="80"/>
      <c r="G849" s="81"/>
      <c r="H849" s="204"/>
      <c r="I849" s="118">
        <v>46090</v>
      </c>
      <c r="J849" s="73">
        <v>3</v>
      </c>
      <c r="K849" s="122" t="s">
        <v>1927</v>
      </c>
      <c r="L849" s="120">
        <f t="shared" si="26"/>
        <v>46182</v>
      </c>
      <c r="M849" s="121">
        <f ca="1" t="shared" si="27"/>
        <v>79</v>
      </c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>
        <v>847</v>
      </c>
      <c r="B850" s="73" t="s">
        <v>1581</v>
      </c>
      <c r="C850" s="73" t="s">
        <v>13</v>
      </c>
      <c r="D850" s="74" t="s">
        <v>1928</v>
      </c>
      <c r="E850" s="79" t="s">
        <v>1929</v>
      </c>
      <c r="F850" s="80"/>
      <c r="G850" s="81"/>
      <c r="H850" s="204"/>
      <c r="I850" s="118">
        <v>46090</v>
      </c>
      <c r="J850" s="73">
        <v>3</v>
      </c>
      <c r="K850" s="122" t="s">
        <v>1930</v>
      </c>
      <c r="L850" s="120">
        <f t="shared" si="26"/>
        <v>46182</v>
      </c>
      <c r="M850" s="121">
        <f ca="1" t="shared" si="27"/>
        <v>79</v>
      </c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>
        <v>848</v>
      </c>
      <c r="B851" s="73" t="s">
        <v>284</v>
      </c>
      <c r="C851" s="73" t="s">
        <v>13</v>
      </c>
      <c r="D851" s="74" t="s">
        <v>1931</v>
      </c>
      <c r="E851" s="79" t="s">
        <v>118</v>
      </c>
      <c r="F851" s="80"/>
      <c r="G851" s="81"/>
      <c r="H851" s="130" t="s">
        <v>16</v>
      </c>
      <c r="I851" s="118">
        <v>46090</v>
      </c>
      <c r="J851" s="73">
        <v>3</v>
      </c>
      <c r="K851" s="122" t="s">
        <v>1932</v>
      </c>
      <c r="L851" s="120">
        <f t="shared" si="26"/>
        <v>46182</v>
      </c>
      <c r="M851" s="121">
        <f ca="1" t="shared" si="27"/>
        <v>79</v>
      </c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>
        <v>849</v>
      </c>
      <c r="B852" s="73" t="s">
        <v>284</v>
      </c>
      <c r="C852" s="73" t="s">
        <v>27</v>
      </c>
      <c r="D852" s="74" t="s">
        <v>1933</v>
      </c>
      <c r="E852" s="79" t="s">
        <v>118</v>
      </c>
      <c r="F852" s="80"/>
      <c r="G852" s="81"/>
      <c r="H852" s="130" t="s">
        <v>16</v>
      </c>
      <c r="I852" s="118">
        <v>46090</v>
      </c>
      <c r="J852" s="73">
        <v>3</v>
      </c>
      <c r="K852" s="122" t="s">
        <v>1934</v>
      </c>
      <c r="L852" s="120">
        <f t="shared" si="26"/>
        <v>46182</v>
      </c>
      <c r="M852" s="121">
        <f ca="1" t="shared" si="27"/>
        <v>79</v>
      </c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>
        <v>850</v>
      </c>
      <c r="B853" s="73" t="s">
        <v>284</v>
      </c>
      <c r="C853" s="73" t="s">
        <v>13</v>
      </c>
      <c r="D853" s="74" t="s">
        <v>1935</v>
      </c>
      <c r="E853" s="79" t="s">
        <v>47</v>
      </c>
      <c r="F853" s="80"/>
      <c r="G853" s="81"/>
      <c r="H853" s="204"/>
      <c r="I853" s="118">
        <v>46090</v>
      </c>
      <c r="J853" s="73">
        <v>3</v>
      </c>
      <c r="K853" s="122" t="s">
        <v>1936</v>
      </c>
      <c r="L853" s="120">
        <f t="shared" si="26"/>
        <v>46182</v>
      </c>
      <c r="M853" s="121">
        <f ca="1" t="shared" si="27"/>
        <v>79</v>
      </c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>
        <v>851</v>
      </c>
      <c r="B854" s="73" t="s">
        <v>284</v>
      </c>
      <c r="C854" s="73" t="s">
        <v>13</v>
      </c>
      <c r="D854" s="74" t="s">
        <v>1937</v>
      </c>
      <c r="E854" s="79" t="s">
        <v>47</v>
      </c>
      <c r="F854" s="80"/>
      <c r="G854" s="81"/>
      <c r="H854" s="204"/>
      <c r="I854" s="118">
        <v>46090</v>
      </c>
      <c r="J854" s="73">
        <v>3</v>
      </c>
      <c r="K854" s="122" t="s">
        <v>1938</v>
      </c>
      <c r="L854" s="120">
        <f t="shared" si="26"/>
        <v>46182</v>
      </c>
      <c r="M854" s="121">
        <f ca="1" t="shared" si="27"/>
        <v>79</v>
      </c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>
        <v>852</v>
      </c>
      <c r="B855" s="73" t="s">
        <v>284</v>
      </c>
      <c r="C855" s="73" t="s">
        <v>13</v>
      </c>
      <c r="D855" s="74" t="s">
        <v>1939</v>
      </c>
      <c r="E855" s="79" t="s">
        <v>47</v>
      </c>
      <c r="F855" s="80"/>
      <c r="G855" s="81"/>
      <c r="H855" s="204"/>
      <c r="I855" s="118">
        <v>46090</v>
      </c>
      <c r="J855" s="73">
        <v>3</v>
      </c>
      <c r="K855" s="122" t="s">
        <v>1940</v>
      </c>
      <c r="L855" s="120">
        <f t="shared" si="26"/>
        <v>46182</v>
      </c>
      <c r="M855" s="121">
        <f ca="1" t="shared" si="27"/>
        <v>79</v>
      </c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>
        <v>853</v>
      </c>
      <c r="B856" s="73" t="s">
        <v>284</v>
      </c>
      <c r="C856" s="73" t="s">
        <v>13</v>
      </c>
      <c r="D856" s="74" t="s">
        <v>1941</v>
      </c>
      <c r="E856" s="79" t="s">
        <v>47</v>
      </c>
      <c r="F856" s="80"/>
      <c r="G856" s="81"/>
      <c r="H856" s="204"/>
      <c r="I856" s="118">
        <v>46090</v>
      </c>
      <c r="J856" s="73">
        <v>3</v>
      </c>
      <c r="K856" s="122" t="s">
        <v>1942</v>
      </c>
      <c r="L856" s="120">
        <f t="shared" si="26"/>
        <v>46182</v>
      </c>
      <c r="M856" s="121">
        <f ca="1" t="shared" si="27"/>
        <v>79</v>
      </c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>
        <v>854</v>
      </c>
      <c r="B857" s="73" t="s">
        <v>731</v>
      </c>
      <c r="C857" s="73" t="s">
        <v>13</v>
      </c>
      <c r="D857" s="74" t="s">
        <v>1943</v>
      </c>
      <c r="E857" s="79" t="s">
        <v>47</v>
      </c>
      <c r="F857" s="80"/>
      <c r="G857" s="81"/>
      <c r="H857" s="204"/>
      <c r="I857" s="118">
        <v>46090</v>
      </c>
      <c r="J857" s="73">
        <v>3</v>
      </c>
      <c r="K857" s="122" t="s">
        <v>1944</v>
      </c>
      <c r="L857" s="120">
        <f t="shared" si="26"/>
        <v>46182</v>
      </c>
      <c r="M857" s="121">
        <f ca="1" t="shared" si="27"/>
        <v>79</v>
      </c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>
        <v>855</v>
      </c>
      <c r="B858" s="73" t="s">
        <v>731</v>
      </c>
      <c r="C858" s="73" t="s">
        <v>13</v>
      </c>
      <c r="D858" s="74" t="s">
        <v>1945</v>
      </c>
      <c r="E858" s="79" t="s">
        <v>47</v>
      </c>
      <c r="F858" s="80"/>
      <c r="G858" s="81"/>
      <c r="H858" s="204"/>
      <c r="I858" s="118">
        <v>46090</v>
      </c>
      <c r="J858" s="73">
        <v>3</v>
      </c>
      <c r="K858" s="122" t="s">
        <v>1946</v>
      </c>
      <c r="L858" s="120">
        <f t="shared" si="26"/>
        <v>46182</v>
      </c>
      <c r="M858" s="121">
        <f ca="1" t="shared" si="27"/>
        <v>79</v>
      </c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>
        <v>856</v>
      </c>
      <c r="B859" s="73" t="s">
        <v>440</v>
      </c>
      <c r="C859" s="73" t="s">
        <v>27</v>
      </c>
      <c r="D859" s="74" t="s">
        <v>1947</v>
      </c>
      <c r="E859" s="79" t="s">
        <v>118</v>
      </c>
      <c r="F859" s="80"/>
      <c r="G859" s="81"/>
      <c r="H859" s="89" t="s">
        <v>16</v>
      </c>
      <c r="I859" s="118">
        <v>46090</v>
      </c>
      <c r="J859" s="73">
        <v>3</v>
      </c>
      <c r="K859" s="122" t="s">
        <v>1948</v>
      </c>
      <c r="L859" s="120">
        <f t="shared" si="26"/>
        <v>46182</v>
      </c>
      <c r="M859" s="121">
        <f ca="1" t="shared" si="27"/>
        <v>79</v>
      </c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>
        <v>857</v>
      </c>
      <c r="B860" s="73" t="s">
        <v>440</v>
      </c>
      <c r="C860" s="73" t="s">
        <v>13</v>
      </c>
      <c r="D860" s="74" t="s">
        <v>1949</v>
      </c>
      <c r="E860" s="79" t="s">
        <v>1950</v>
      </c>
      <c r="F860" s="80"/>
      <c r="G860" s="81"/>
      <c r="H860" s="89" t="s">
        <v>16</v>
      </c>
      <c r="I860" s="118">
        <v>46090</v>
      </c>
      <c r="J860" s="73">
        <v>3</v>
      </c>
      <c r="K860" s="122" t="s">
        <v>1951</v>
      </c>
      <c r="L860" s="120">
        <f t="shared" si="26"/>
        <v>46182</v>
      </c>
      <c r="M860" s="121">
        <f ca="1" t="shared" si="27"/>
        <v>79</v>
      </c>
      <c r="N860" s="73"/>
      <c r="O860" s="73"/>
      <c r="P860" s="73"/>
      <c r="Q860" s="74"/>
      <c r="R860" s="79"/>
      <c r="S860" s="80"/>
      <c r="T860" s="81"/>
      <c r="U860" s="78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78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>
        <v>858</v>
      </c>
      <c r="B861" s="73" t="s">
        <v>495</v>
      </c>
      <c r="C861" s="73" t="s">
        <v>27</v>
      </c>
      <c r="D861" s="74" t="s">
        <v>1952</v>
      </c>
      <c r="E861" s="79" t="s">
        <v>118</v>
      </c>
      <c r="F861" s="80"/>
      <c r="G861" s="81"/>
      <c r="H861" s="89" t="s">
        <v>16</v>
      </c>
      <c r="I861" s="118">
        <v>46090</v>
      </c>
      <c r="J861" s="73">
        <v>3</v>
      </c>
      <c r="K861" s="122" t="s">
        <v>1953</v>
      </c>
      <c r="L861" s="120">
        <f t="shared" si="26"/>
        <v>46182</v>
      </c>
      <c r="M861" s="121">
        <f ca="1" t="shared" si="27"/>
        <v>79</v>
      </c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>
        <v>859</v>
      </c>
      <c r="B862" s="73" t="s">
        <v>495</v>
      </c>
      <c r="C862" s="73" t="s">
        <v>13</v>
      </c>
      <c r="D862" s="74" t="s">
        <v>1954</v>
      </c>
      <c r="E862" s="79" t="s">
        <v>32</v>
      </c>
      <c r="F862" s="80"/>
      <c r="G862" s="81"/>
      <c r="H862" s="89" t="s">
        <v>16</v>
      </c>
      <c r="I862" s="118">
        <v>46090</v>
      </c>
      <c r="J862" s="73">
        <v>3</v>
      </c>
      <c r="K862" s="122" t="s">
        <v>1955</v>
      </c>
      <c r="L862" s="120">
        <f t="shared" si="26"/>
        <v>46182</v>
      </c>
      <c r="M862" s="121">
        <f ca="1" t="shared" si="27"/>
        <v>79</v>
      </c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>
        <v>860</v>
      </c>
      <c r="B863" s="73" t="s">
        <v>1329</v>
      </c>
      <c r="C863" s="73" t="s">
        <v>27</v>
      </c>
      <c r="D863" s="74" t="s">
        <v>1956</v>
      </c>
      <c r="E863" s="79" t="s">
        <v>1169</v>
      </c>
      <c r="F863" s="80"/>
      <c r="G863" s="81"/>
      <c r="H863" s="89" t="s">
        <v>16</v>
      </c>
      <c r="I863" s="118">
        <v>46090</v>
      </c>
      <c r="J863" s="73">
        <v>3</v>
      </c>
      <c r="K863" s="122" t="s">
        <v>1957</v>
      </c>
      <c r="L863" s="120">
        <f t="shared" si="26"/>
        <v>46182</v>
      </c>
      <c r="M863" s="121">
        <f ca="1" t="shared" si="27"/>
        <v>79</v>
      </c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268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>
        <v>861</v>
      </c>
      <c r="B864" s="73" t="s">
        <v>1958</v>
      </c>
      <c r="C864" s="73" t="s">
        <v>27</v>
      </c>
      <c r="D864" s="74" t="s">
        <v>1959</v>
      </c>
      <c r="E864" s="79" t="s">
        <v>1960</v>
      </c>
      <c r="F864" s="80"/>
      <c r="G864" s="81"/>
      <c r="H864" s="89" t="s">
        <v>16</v>
      </c>
      <c r="I864" s="118">
        <v>46090</v>
      </c>
      <c r="J864" s="73">
        <v>3</v>
      </c>
      <c r="K864" s="122" t="s">
        <v>1961</v>
      </c>
      <c r="L864" s="120">
        <f t="shared" si="26"/>
        <v>46182</v>
      </c>
      <c r="M864" s="121">
        <f ca="1" t="shared" si="27"/>
        <v>79</v>
      </c>
      <c r="N864" s="73"/>
      <c r="O864" s="73"/>
      <c r="P864" s="73"/>
      <c r="Q864" s="74"/>
      <c r="R864" s="79"/>
      <c r="S864" s="80"/>
      <c r="T864" s="81"/>
      <c r="U864" s="130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>
        <v>862</v>
      </c>
      <c r="B865" s="73" t="s">
        <v>37</v>
      </c>
      <c r="C865" s="73" t="s">
        <v>13</v>
      </c>
      <c r="D865" s="74" t="s">
        <v>1962</v>
      </c>
      <c r="E865" s="79" t="s">
        <v>78</v>
      </c>
      <c r="F865" s="80"/>
      <c r="G865" s="81"/>
      <c r="H865" s="89" t="s">
        <v>16</v>
      </c>
      <c r="I865" s="118">
        <v>46091</v>
      </c>
      <c r="J865" s="73">
        <v>3</v>
      </c>
      <c r="K865" s="122" t="s">
        <v>1963</v>
      </c>
      <c r="L865" s="120">
        <f t="shared" si="26"/>
        <v>46183</v>
      </c>
      <c r="M865" s="121">
        <f ca="1" t="shared" si="27"/>
        <v>80</v>
      </c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>
        <v>863</v>
      </c>
      <c r="B866" s="73" t="s">
        <v>103</v>
      </c>
      <c r="C866" s="73" t="s">
        <v>27</v>
      </c>
      <c r="D866" s="74" t="s">
        <v>1964</v>
      </c>
      <c r="E866" s="79" t="s">
        <v>118</v>
      </c>
      <c r="F866" s="80"/>
      <c r="G866" s="81"/>
      <c r="H866" s="130" t="s">
        <v>16</v>
      </c>
      <c r="I866" s="118">
        <v>46091</v>
      </c>
      <c r="J866" s="73">
        <v>3</v>
      </c>
      <c r="K866" s="122" t="s">
        <v>1965</v>
      </c>
      <c r="L866" s="120">
        <f t="shared" si="26"/>
        <v>46183</v>
      </c>
      <c r="M866" s="121">
        <f ca="1" t="shared" si="27"/>
        <v>80</v>
      </c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>
        <v>864</v>
      </c>
      <c r="B867" s="73" t="s">
        <v>489</v>
      </c>
      <c r="C867" s="73" t="s">
        <v>228</v>
      </c>
      <c r="D867" s="74" t="s">
        <v>1966</v>
      </c>
      <c r="E867" s="79" t="s">
        <v>491</v>
      </c>
      <c r="F867" s="80"/>
      <c r="G867" s="81"/>
      <c r="H867" s="204"/>
      <c r="I867" s="118">
        <v>46091</v>
      </c>
      <c r="J867" s="73">
        <v>3</v>
      </c>
      <c r="K867" s="122" t="s">
        <v>1967</v>
      </c>
      <c r="L867" s="120">
        <f t="shared" si="26"/>
        <v>46183</v>
      </c>
      <c r="M867" s="121">
        <f ca="1" t="shared" si="27"/>
        <v>80</v>
      </c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>
        <v>865</v>
      </c>
      <c r="B868" s="73" t="s">
        <v>489</v>
      </c>
      <c r="C868" s="73" t="s">
        <v>228</v>
      </c>
      <c r="D868" s="74" t="s">
        <v>1968</v>
      </c>
      <c r="E868" s="79" t="s">
        <v>491</v>
      </c>
      <c r="F868" s="80"/>
      <c r="G868" s="81"/>
      <c r="H868" s="204"/>
      <c r="I868" s="118">
        <v>46091</v>
      </c>
      <c r="J868" s="73">
        <v>3</v>
      </c>
      <c r="K868" s="122" t="s">
        <v>1969</v>
      </c>
      <c r="L868" s="120">
        <f t="shared" si="26"/>
        <v>46183</v>
      </c>
      <c r="M868" s="121">
        <f ca="1" t="shared" si="27"/>
        <v>80</v>
      </c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>
        <v>866</v>
      </c>
      <c r="B869" s="73" t="s">
        <v>1970</v>
      </c>
      <c r="C869" s="73" t="s">
        <v>228</v>
      </c>
      <c r="D869" s="74" t="s">
        <v>1971</v>
      </c>
      <c r="E869" s="79" t="s">
        <v>1972</v>
      </c>
      <c r="F869" s="80"/>
      <c r="G869" s="81"/>
      <c r="H869" s="130" t="s">
        <v>16</v>
      </c>
      <c r="I869" s="118">
        <v>46091</v>
      </c>
      <c r="J869" s="73">
        <v>3</v>
      </c>
      <c r="K869" s="122" t="s">
        <v>1973</v>
      </c>
      <c r="L869" s="120">
        <f t="shared" si="26"/>
        <v>46183</v>
      </c>
      <c r="M869" s="121">
        <f ca="1" t="shared" si="27"/>
        <v>80</v>
      </c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>
        <v>867</v>
      </c>
      <c r="B870" s="73" t="s">
        <v>397</v>
      </c>
      <c r="C870" s="73" t="s">
        <v>158</v>
      </c>
      <c r="D870" s="74" t="s">
        <v>1848</v>
      </c>
      <c r="E870" s="79" t="s">
        <v>468</v>
      </c>
      <c r="F870" s="80"/>
      <c r="G870" s="81"/>
      <c r="H870" s="204"/>
      <c r="I870" s="118">
        <v>46091</v>
      </c>
      <c r="J870" s="73" t="s">
        <v>473</v>
      </c>
      <c r="K870" s="122"/>
      <c r="L870" s="120" t="e">
        <f t="shared" si="26"/>
        <v>#VALUE!</v>
      </c>
      <c r="M870" s="121" t="e">
        <f ca="1" t="shared" si="27"/>
        <v>#VALUE!</v>
      </c>
      <c r="N870" s="73"/>
      <c r="O870" s="73"/>
      <c r="P870" s="73"/>
      <c r="Q870" s="74"/>
      <c r="R870" s="79"/>
      <c r="S870" s="80"/>
      <c r="T870" s="81"/>
      <c r="U870" s="78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>
        <v>868</v>
      </c>
      <c r="B871" s="73" t="s">
        <v>162</v>
      </c>
      <c r="C871" s="73" t="s">
        <v>158</v>
      </c>
      <c r="D871" s="74" t="s">
        <v>1974</v>
      </c>
      <c r="E871" s="79" t="s">
        <v>167</v>
      </c>
      <c r="F871" s="80"/>
      <c r="G871" s="81"/>
      <c r="H871" s="204"/>
      <c r="I871" s="118">
        <v>46091</v>
      </c>
      <c r="J871" s="73">
        <v>3</v>
      </c>
      <c r="K871" s="122" t="s">
        <v>1975</v>
      </c>
      <c r="L871" s="120">
        <f t="shared" si="26"/>
        <v>46183</v>
      </c>
      <c r="M871" s="121">
        <f ca="1" t="shared" si="27"/>
        <v>80</v>
      </c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>
        <v>869</v>
      </c>
      <c r="B872" s="73" t="s">
        <v>162</v>
      </c>
      <c r="C872" s="73" t="s">
        <v>158</v>
      </c>
      <c r="D872" s="74" t="s">
        <v>1976</v>
      </c>
      <c r="E872" s="79" t="s">
        <v>167</v>
      </c>
      <c r="F872" s="80"/>
      <c r="G872" s="81"/>
      <c r="H872" s="204"/>
      <c r="I872" s="118">
        <v>46091</v>
      </c>
      <c r="J872" s="73">
        <v>3</v>
      </c>
      <c r="K872" s="122" t="s">
        <v>1977</v>
      </c>
      <c r="L872" s="120">
        <f t="shared" si="26"/>
        <v>46183</v>
      </c>
      <c r="M872" s="121">
        <f ca="1" t="shared" si="27"/>
        <v>80</v>
      </c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>
        <v>870</v>
      </c>
      <c r="B873" s="73" t="s">
        <v>162</v>
      </c>
      <c r="C873" s="73" t="s">
        <v>158</v>
      </c>
      <c r="D873" s="74" t="s">
        <v>1978</v>
      </c>
      <c r="E873" s="79" t="s">
        <v>167</v>
      </c>
      <c r="F873" s="80"/>
      <c r="G873" s="81"/>
      <c r="H873" s="204"/>
      <c r="I873" s="118">
        <v>46091</v>
      </c>
      <c r="J873" s="73">
        <v>3</v>
      </c>
      <c r="K873" s="122" t="s">
        <v>1979</v>
      </c>
      <c r="L873" s="120">
        <f t="shared" si="26"/>
        <v>46183</v>
      </c>
      <c r="M873" s="121">
        <f ca="1" t="shared" si="27"/>
        <v>80</v>
      </c>
      <c r="N873" s="73"/>
      <c r="O873" s="73"/>
      <c r="P873" s="73"/>
      <c r="Q873" s="74"/>
      <c r="R873" s="79"/>
      <c r="S873" s="80"/>
      <c r="T873" s="81"/>
      <c r="U873" s="130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>
        <v>871</v>
      </c>
      <c r="B874" s="73" t="s">
        <v>162</v>
      </c>
      <c r="C874" s="73" t="s">
        <v>158</v>
      </c>
      <c r="D874" s="74" t="s">
        <v>1980</v>
      </c>
      <c r="E874" s="79" t="s">
        <v>167</v>
      </c>
      <c r="F874" s="80"/>
      <c r="G874" s="81"/>
      <c r="H874" s="204"/>
      <c r="I874" s="118">
        <v>46091</v>
      </c>
      <c r="J874" s="73">
        <v>3</v>
      </c>
      <c r="K874" s="122" t="s">
        <v>1981</v>
      </c>
      <c r="L874" s="120">
        <f t="shared" si="26"/>
        <v>46183</v>
      </c>
      <c r="M874" s="121">
        <f ca="1" t="shared" si="27"/>
        <v>80</v>
      </c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>
        <v>872</v>
      </c>
      <c r="B875" s="73" t="s">
        <v>162</v>
      </c>
      <c r="C875" s="73" t="s">
        <v>158</v>
      </c>
      <c r="D875" s="74" t="s">
        <v>1982</v>
      </c>
      <c r="E875" s="79" t="s">
        <v>167</v>
      </c>
      <c r="F875" s="80"/>
      <c r="G875" s="81"/>
      <c r="H875" s="204"/>
      <c r="I875" s="118">
        <v>46091</v>
      </c>
      <c r="J875" s="73">
        <v>3</v>
      </c>
      <c r="K875" s="122" t="s">
        <v>1983</v>
      </c>
      <c r="L875" s="120">
        <f t="shared" si="26"/>
        <v>46183</v>
      </c>
      <c r="M875" s="121">
        <f ca="1" t="shared" si="27"/>
        <v>80</v>
      </c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>
        <v>873</v>
      </c>
      <c r="B876" s="73" t="s">
        <v>162</v>
      </c>
      <c r="C876" s="73" t="s">
        <v>158</v>
      </c>
      <c r="D876" s="74" t="s">
        <v>1984</v>
      </c>
      <c r="E876" s="79" t="s">
        <v>167</v>
      </c>
      <c r="F876" s="80"/>
      <c r="G876" s="81"/>
      <c r="H876" s="204"/>
      <c r="I876" s="118">
        <v>46091</v>
      </c>
      <c r="J876" s="73">
        <v>3</v>
      </c>
      <c r="K876" s="122" t="s">
        <v>1985</v>
      </c>
      <c r="L876" s="120">
        <f t="shared" si="26"/>
        <v>46183</v>
      </c>
      <c r="M876" s="121">
        <f ca="1" t="shared" si="27"/>
        <v>80</v>
      </c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>
        <v>874</v>
      </c>
      <c r="B877" s="73" t="s">
        <v>395</v>
      </c>
      <c r="C877" s="73" t="s">
        <v>158</v>
      </c>
      <c r="D877" s="74" t="s">
        <v>1486</v>
      </c>
      <c r="E877" s="79" t="s">
        <v>160</v>
      </c>
      <c r="F877" s="80"/>
      <c r="G877" s="81"/>
      <c r="H877" s="204"/>
      <c r="I877" s="118">
        <v>46091</v>
      </c>
      <c r="J877" s="73" t="s">
        <v>473</v>
      </c>
      <c r="K877" s="122"/>
      <c r="L877" s="120" t="e">
        <f t="shared" si="26"/>
        <v>#VALUE!</v>
      </c>
      <c r="M877" s="121" t="e">
        <f ca="1" t="shared" si="27"/>
        <v>#VALUE!</v>
      </c>
      <c r="N877" s="73"/>
      <c r="O877" s="73"/>
      <c r="P877" s="73"/>
      <c r="Q877" s="74"/>
      <c r="R877" s="79"/>
      <c r="S877" s="80"/>
      <c r="T877" s="81"/>
      <c r="U877" s="89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>
        <v>875</v>
      </c>
      <c r="B878" s="73" t="s">
        <v>82</v>
      </c>
      <c r="C878" s="73" t="s">
        <v>13</v>
      </c>
      <c r="D878" s="74" t="s">
        <v>1986</v>
      </c>
      <c r="E878" s="79" t="s">
        <v>1987</v>
      </c>
      <c r="F878" s="80"/>
      <c r="G878" s="81"/>
      <c r="H878" s="204"/>
      <c r="I878" s="118">
        <v>46092</v>
      </c>
      <c r="J878" s="73">
        <v>3</v>
      </c>
      <c r="K878" s="122" t="s">
        <v>1988</v>
      </c>
      <c r="L878" s="120">
        <f t="shared" si="26"/>
        <v>46184</v>
      </c>
      <c r="M878" s="121">
        <f ca="1" t="shared" si="27"/>
        <v>81</v>
      </c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>
        <v>876</v>
      </c>
      <c r="B879" s="73" t="s">
        <v>852</v>
      </c>
      <c r="C879" s="73" t="s">
        <v>27</v>
      </c>
      <c r="D879" s="74" t="s">
        <v>1989</v>
      </c>
      <c r="E879" s="79" t="s">
        <v>1990</v>
      </c>
      <c r="F879" s="80"/>
      <c r="G879" s="81"/>
      <c r="H879" s="204"/>
      <c r="I879" s="118">
        <v>46092</v>
      </c>
      <c r="J879" s="73">
        <v>3</v>
      </c>
      <c r="K879" s="122" t="s">
        <v>1991</v>
      </c>
      <c r="L879" s="120">
        <f t="shared" si="26"/>
        <v>46184</v>
      </c>
      <c r="M879" s="121">
        <f ca="1" t="shared" si="27"/>
        <v>81</v>
      </c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>
        <v>877</v>
      </c>
      <c r="B880" s="73" t="s">
        <v>852</v>
      </c>
      <c r="C880" s="73" t="s">
        <v>27</v>
      </c>
      <c r="D880" s="74" t="s">
        <v>1992</v>
      </c>
      <c r="E880" s="79" t="s">
        <v>854</v>
      </c>
      <c r="F880" s="80"/>
      <c r="G880" s="81"/>
      <c r="H880" s="204"/>
      <c r="I880" s="118">
        <v>46092</v>
      </c>
      <c r="J880" s="73">
        <v>3</v>
      </c>
      <c r="K880" s="122" t="s">
        <v>1993</v>
      </c>
      <c r="L880" s="120">
        <f t="shared" si="26"/>
        <v>46184</v>
      </c>
      <c r="M880" s="121">
        <f ca="1" t="shared" si="27"/>
        <v>81</v>
      </c>
      <c r="N880" s="73"/>
      <c r="O880" s="73"/>
      <c r="P880" s="73"/>
      <c r="Q880" s="74"/>
      <c r="R880" s="79"/>
      <c r="S880" s="80"/>
      <c r="T880" s="81"/>
      <c r="U880" s="78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>
        <v>878</v>
      </c>
      <c r="B881" s="73" t="s">
        <v>324</v>
      </c>
      <c r="C881" s="73" t="s">
        <v>13</v>
      </c>
      <c r="D881" s="74" t="s">
        <v>1994</v>
      </c>
      <c r="E881" s="79" t="s">
        <v>1995</v>
      </c>
      <c r="F881" s="80"/>
      <c r="G881" s="81"/>
      <c r="H881" s="204"/>
      <c r="I881" s="118">
        <v>46092</v>
      </c>
      <c r="J881" s="73">
        <v>3</v>
      </c>
      <c r="K881" s="122" t="s">
        <v>1996</v>
      </c>
      <c r="L881" s="120">
        <f t="shared" si="26"/>
        <v>46184</v>
      </c>
      <c r="M881" s="121">
        <f ca="1" t="shared" si="27"/>
        <v>81</v>
      </c>
      <c r="N881" s="73"/>
      <c r="O881" s="73"/>
      <c r="P881" s="73"/>
      <c r="Q881" s="74"/>
      <c r="R881" s="79"/>
      <c r="S881" s="80"/>
      <c r="T881" s="81"/>
      <c r="U881" s="78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>
        <v>879</v>
      </c>
      <c r="B882" s="73" t="s">
        <v>324</v>
      </c>
      <c r="C882" s="73" t="s">
        <v>13</v>
      </c>
      <c r="D882" s="74" t="s">
        <v>1997</v>
      </c>
      <c r="E882" s="79" t="s">
        <v>326</v>
      </c>
      <c r="F882" s="80"/>
      <c r="G882" s="81"/>
      <c r="H882" s="204"/>
      <c r="I882" s="118">
        <v>46092</v>
      </c>
      <c r="J882" s="73">
        <v>3</v>
      </c>
      <c r="K882" s="122" t="s">
        <v>1998</v>
      </c>
      <c r="L882" s="120">
        <f t="shared" si="26"/>
        <v>46184</v>
      </c>
      <c r="M882" s="121">
        <f ca="1" t="shared" si="27"/>
        <v>81</v>
      </c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>
        <v>880</v>
      </c>
      <c r="B883" s="73" t="s">
        <v>324</v>
      </c>
      <c r="C883" s="73" t="s">
        <v>13</v>
      </c>
      <c r="D883" s="74" t="s">
        <v>1999</v>
      </c>
      <c r="E883" s="79" t="s">
        <v>2000</v>
      </c>
      <c r="F883" s="80"/>
      <c r="G883" s="81"/>
      <c r="H883" s="89" t="s">
        <v>16</v>
      </c>
      <c r="I883" s="118">
        <v>46092</v>
      </c>
      <c r="J883" s="73">
        <v>3</v>
      </c>
      <c r="K883" s="122" t="s">
        <v>2001</v>
      </c>
      <c r="L883" s="120">
        <f t="shared" si="26"/>
        <v>46184</v>
      </c>
      <c r="M883" s="121">
        <f ca="1" t="shared" si="27"/>
        <v>81</v>
      </c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>
        <v>881</v>
      </c>
      <c r="B884" s="73" t="s">
        <v>324</v>
      </c>
      <c r="C884" s="73" t="s">
        <v>13</v>
      </c>
      <c r="D884" s="74" t="s">
        <v>2002</v>
      </c>
      <c r="E884" s="79" t="s">
        <v>2003</v>
      </c>
      <c r="F884" s="80"/>
      <c r="G884" s="81"/>
      <c r="H884" s="89" t="s">
        <v>16</v>
      </c>
      <c r="I884" s="118">
        <v>46092</v>
      </c>
      <c r="J884" s="73">
        <v>3</v>
      </c>
      <c r="K884" s="122" t="s">
        <v>2004</v>
      </c>
      <c r="L884" s="120">
        <f t="shared" si="26"/>
        <v>46184</v>
      </c>
      <c r="M884" s="121">
        <f ca="1" t="shared" si="27"/>
        <v>81</v>
      </c>
      <c r="N884" s="73"/>
      <c r="O884" s="73"/>
      <c r="P884" s="73"/>
      <c r="Q884" s="74"/>
      <c r="R884" s="79"/>
      <c r="S884" s="80"/>
      <c r="T884" s="81"/>
      <c r="U884" s="82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4" customHeight="1" spans="1:52">
      <c r="A885" s="73">
        <v>882</v>
      </c>
      <c r="B885" s="73" t="s">
        <v>342</v>
      </c>
      <c r="C885" s="73" t="s">
        <v>228</v>
      </c>
      <c r="D885" s="74" t="s">
        <v>2005</v>
      </c>
      <c r="E885" s="79" t="s">
        <v>347</v>
      </c>
      <c r="F885" s="80"/>
      <c r="G885" s="81"/>
      <c r="H885" s="89" t="s">
        <v>16</v>
      </c>
      <c r="I885" s="118">
        <v>46092</v>
      </c>
      <c r="J885" s="73">
        <v>3</v>
      </c>
      <c r="K885" s="122" t="s">
        <v>2006</v>
      </c>
      <c r="L885" s="120">
        <f t="shared" si="26"/>
        <v>46184</v>
      </c>
      <c r="M885" s="121">
        <f ca="1" t="shared" si="27"/>
        <v>81</v>
      </c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4" customHeight="1" spans="1:52">
      <c r="A886" s="73">
        <v>883</v>
      </c>
      <c r="B886" s="73" t="s">
        <v>397</v>
      </c>
      <c r="C886" s="73" t="s">
        <v>158</v>
      </c>
      <c r="D886" s="74" t="s">
        <v>398</v>
      </c>
      <c r="E886" s="79" t="s">
        <v>2007</v>
      </c>
      <c r="F886" s="80"/>
      <c r="G886" s="81"/>
      <c r="H886" s="82"/>
      <c r="I886" s="118">
        <v>46092</v>
      </c>
      <c r="J886" s="73" t="s">
        <v>473</v>
      </c>
      <c r="K886" s="122"/>
      <c r="L886" s="120" t="e">
        <f t="shared" si="26"/>
        <v>#VALUE!</v>
      </c>
      <c r="M886" s="121" t="e">
        <f ca="1" t="shared" si="27"/>
        <v>#VALUE!</v>
      </c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ht="24" customHeight="1" spans="1:52">
      <c r="A887" s="73">
        <v>884</v>
      </c>
      <c r="B887" s="73" t="s">
        <v>397</v>
      </c>
      <c r="C887" s="73" t="s">
        <v>158</v>
      </c>
      <c r="D887" s="74" t="s">
        <v>1671</v>
      </c>
      <c r="E887" s="79" t="s">
        <v>1672</v>
      </c>
      <c r="F887" s="80"/>
      <c r="G887" s="81"/>
      <c r="H887" s="82"/>
      <c r="I887" s="118">
        <v>46092</v>
      </c>
      <c r="J887" s="73" t="s">
        <v>473</v>
      </c>
      <c r="K887" s="122"/>
      <c r="L887" s="120" t="e">
        <f t="shared" si="26"/>
        <v>#VALUE!</v>
      </c>
      <c r="M887" s="121" t="e">
        <f ca="1" t="shared" si="27"/>
        <v>#VALUE!</v>
      </c>
      <c r="N887" s="73"/>
      <c r="O887" s="73"/>
      <c r="P887" s="73"/>
      <c r="Q887" s="74"/>
      <c r="R887" s="79"/>
      <c r="S887" s="80"/>
      <c r="T887" s="81"/>
      <c r="U887" s="130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130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ht="27" customHeight="1" spans="1:52">
      <c r="A888" s="73">
        <v>885</v>
      </c>
      <c r="B888" s="73" t="s">
        <v>397</v>
      </c>
      <c r="C888" s="73" t="s">
        <v>158</v>
      </c>
      <c r="D888" s="74" t="s">
        <v>2008</v>
      </c>
      <c r="E888" s="79" t="s">
        <v>2009</v>
      </c>
      <c r="F888" s="80"/>
      <c r="G888" s="81"/>
      <c r="H888" s="82"/>
      <c r="I888" s="118">
        <v>46092</v>
      </c>
      <c r="J888" s="73" t="s">
        <v>473</v>
      </c>
      <c r="K888" s="122" t="s">
        <v>2010</v>
      </c>
      <c r="L888" s="120" t="e">
        <f t="shared" si="26"/>
        <v>#VALUE!</v>
      </c>
      <c r="M888" s="121" t="e">
        <f ca="1" t="shared" si="27"/>
        <v>#VALUE!</v>
      </c>
      <c r="N888" s="73"/>
      <c r="O888" s="73"/>
      <c r="P888" s="73"/>
      <c r="Q888" s="74"/>
      <c r="R888" s="79"/>
      <c r="S888" s="80"/>
      <c r="T888" s="81"/>
      <c r="U888" s="78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78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>
        <v>886</v>
      </c>
      <c r="B889" s="73" t="s">
        <v>82</v>
      </c>
      <c r="C889" s="73" t="s">
        <v>13</v>
      </c>
      <c r="D889" s="74" t="s">
        <v>2011</v>
      </c>
      <c r="E889" s="79" t="s">
        <v>78</v>
      </c>
      <c r="F889" s="80"/>
      <c r="G889" s="81"/>
      <c r="H889" s="130" t="s">
        <v>16</v>
      </c>
      <c r="I889" s="118">
        <v>46093</v>
      </c>
      <c r="J889" s="73">
        <v>3</v>
      </c>
      <c r="K889" s="122" t="s">
        <v>2012</v>
      </c>
      <c r="L889" s="120">
        <f t="shared" si="26"/>
        <v>46185</v>
      </c>
      <c r="M889" s="121">
        <f ca="1" t="shared" si="27"/>
        <v>82</v>
      </c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>
        <v>887</v>
      </c>
      <c r="B890" s="73" t="s">
        <v>462</v>
      </c>
      <c r="C890" s="73" t="s">
        <v>27</v>
      </c>
      <c r="D890" s="74" t="s">
        <v>2013</v>
      </c>
      <c r="E890" s="79" t="s">
        <v>118</v>
      </c>
      <c r="F890" s="80"/>
      <c r="G890" s="81"/>
      <c r="H890" s="130" t="s">
        <v>16</v>
      </c>
      <c r="I890" s="118">
        <v>46093</v>
      </c>
      <c r="J890" s="73">
        <v>3</v>
      </c>
      <c r="K890" s="122" t="s">
        <v>2014</v>
      </c>
      <c r="L890" s="120">
        <f t="shared" si="26"/>
        <v>46185</v>
      </c>
      <c r="M890" s="121">
        <f ca="1" t="shared" si="27"/>
        <v>82</v>
      </c>
      <c r="N890" s="73"/>
      <c r="O890" s="73"/>
      <c r="P890" s="73"/>
      <c r="Q890" s="74"/>
      <c r="R890" s="79"/>
      <c r="S890" s="80"/>
      <c r="T890" s="81"/>
      <c r="U890" s="89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>
        <v>888</v>
      </c>
      <c r="B891" s="73" t="s">
        <v>462</v>
      </c>
      <c r="C891" s="73" t="s">
        <v>13</v>
      </c>
      <c r="D891" s="74" t="s">
        <v>2015</v>
      </c>
      <c r="E891" s="79" t="s">
        <v>78</v>
      </c>
      <c r="F891" s="80"/>
      <c r="G891" s="81"/>
      <c r="H891" s="130" t="s">
        <v>16</v>
      </c>
      <c r="I891" s="118">
        <v>46093</v>
      </c>
      <c r="J891" s="73">
        <v>3</v>
      </c>
      <c r="K891" s="122" t="s">
        <v>2016</v>
      </c>
      <c r="L891" s="120">
        <f t="shared" si="26"/>
        <v>46185</v>
      </c>
      <c r="M891" s="121">
        <f ca="1" t="shared" si="27"/>
        <v>82</v>
      </c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73"/>
      <c r="AP891" s="73"/>
      <c r="AQ891" s="74"/>
      <c r="AR891" s="106"/>
      <c r="AS891" s="107"/>
      <c r="AT891" s="108"/>
      <c r="AU891" s="82"/>
      <c r="AV891" s="158"/>
      <c r="AW891" s="152"/>
      <c r="AX891" s="122"/>
      <c r="AY891" s="120"/>
      <c r="AZ891" s="121"/>
    </row>
    <row r="892" spans="1:52">
      <c r="A892" s="73">
        <v>889</v>
      </c>
      <c r="B892" s="73" t="s">
        <v>462</v>
      </c>
      <c r="C892" s="73" t="s">
        <v>13</v>
      </c>
      <c r="D892" s="74" t="s">
        <v>2017</v>
      </c>
      <c r="E892" s="79" t="s">
        <v>78</v>
      </c>
      <c r="F892" s="80"/>
      <c r="G892" s="81"/>
      <c r="H892" s="130" t="s">
        <v>16</v>
      </c>
      <c r="I892" s="118">
        <v>46093</v>
      </c>
      <c r="J892" s="73">
        <v>3</v>
      </c>
      <c r="K892" s="122" t="s">
        <v>2018</v>
      </c>
      <c r="L892" s="120">
        <f t="shared" si="26"/>
        <v>46185</v>
      </c>
      <c r="M892" s="121">
        <f ca="1" t="shared" si="27"/>
        <v>82</v>
      </c>
      <c r="N892" s="73"/>
      <c r="O892" s="73"/>
      <c r="P892" s="73"/>
      <c r="Q892" s="74"/>
      <c r="R892" s="79"/>
      <c r="S892" s="80"/>
      <c r="T892" s="81"/>
      <c r="U892" s="130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>
        <v>890</v>
      </c>
      <c r="B893" s="73" t="s">
        <v>462</v>
      </c>
      <c r="C893" s="73" t="s">
        <v>13</v>
      </c>
      <c r="D893" s="74" t="s">
        <v>2019</v>
      </c>
      <c r="E893" s="79" t="s">
        <v>1027</v>
      </c>
      <c r="F893" s="80"/>
      <c r="G893" s="81"/>
      <c r="H893" s="130" t="s">
        <v>16</v>
      </c>
      <c r="I893" s="118">
        <v>46093</v>
      </c>
      <c r="J893" s="73">
        <v>3</v>
      </c>
      <c r="K893" s="122" t="s">
        <v>2020</v>
      </c>
      <c r="L893" s="120">
        <f t="shared" si="26"/>
        <v>46185</v>
      </c>
      <c r="M893" s="121">
        <f ca="1" t="shared" si="27"/>
        <v>82</v>
      </c>
      <c r="N893" s="73"/>
      <c r="O893" s="73"/>
      <c r="P893" s="73"/>
      <c r="Q893" s="74"/>
      <c r="R893" s="79"/>
      <c r="S893" s="80"/>
      <c r="T893" s="81"/>
      <c r="U893" s="78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>
        <v>891</v>
      </c>
      <c r="B894" s="73" t="s">
        <v>462</v>
      </c>
      <c r="C894" s="73" t="s">
        <v>13</v>
      </c>
      <c r="D894" s="74" t="s">
        <v>2021</v>
      </c>
      <c r="E894" s="79" t="s">
        <v>78</v>
      </c>
      <c r="F894" s="80"/>
      <c r="G894" s="81"/>
      <c r="H894" s="82"/>
      <c r="I894" s="118">
        <v>46093</v>
      </c>
      <c r="J894" s="73">
        <v>3</v>
      </c>
      <c r="K894" s="122" t="s">
        <v>2022</v>
      </c>
      <c r="L894" s="120">
        <f t="shared" si="26"/>
        <v>46185</v>
      </c>
      <c r="M894" s="121">
        <f ca="1" t="shared" si="27"/>
        <v>82</v>
      </c>
      <c r="N894" s="73"/>
      <c r="O894" s="73"/>
      <c r="P894" s="73"/>
      <c r="Q894" s="74"/>
      <c r="R894" s="79"/>
      <c r="S894" s="80"/>
      <c r="T894" s="81"/>
      <c r="U894" s="78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>
        <v>892</v>
      </c>
      <c r="B895" s="73" t="s">
        <v>462</v>
      </c>
      <c r="C895" s="73" t="s">
        <v>158</v>
      </c>
      <c r="D895" s="74" t="s">
        <v>2023</v>
      </c>
      <c r="E895" s="79" t="s">
        <v>1668</v>
      </c>
      <c r="F895" s="80"/>
      <c r="G895" s="81"/>
      <c r="H895" s="82"/>
      <c r="I895" s="118">
        <v>46093</v>
      </c>
      <c r="J895" s="73">
        <v>3</v>
      </c>
      <c r="K895" s="122" t="s">
        <v>2024</v>
      </c>
      <c r="L895" s="120">
        <f t="shared" si="26"/>
        <v>46185</v>
      </c>
      <c r="M895" s="121">
        <f ca="1" t="shared" si="27"/>
        <v>82</v>
      </c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>
        <v>893</v>
      </c>
      <c r="B896" s="73" t="s">
        <v>462</v>
      </c>
      <c r="C896" s="73" t="s">
        <v>158</v>
      </c>
      <c r="D896" s="74" t="s">
        <v>2025</v>
      </c>
      <c r="E896" s="79" t="s">
        <v>1705</v>
      </c>
      <c r="F896" s="80"/>
      <c r="G896" s="81"/>
      <c r="H896" s="82"/>
      <c r="I896" s="118">
        <v>46093</v>
      </c>
      <c r="J896" s="73">
        <v>3</v>
      </c>
      <c r="K896" s="122" t="s">
        <v>2026</v>
      </c>
      <c r="L896" s="120">
        <f t="shared" si="26"/>
        <v>46185</v>
      </c>
      <c r="M896" s="121">
        <f ca="1" t="shared" si="27"/>
        <v>82</v>
      </c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>
        <v>894</v>
      </c>
      <c r="B897" s="73" t="s">
        <v>462</v>
      </c>
      <c r="C897" s="73" t="s">
        <v>158</v>
      </c>
      <c r="D897" s="74" t="s">
        <v>2027</v>
      </c>
      <c r="E897" s="79" t="s">
        <v>2028</v>
      </c>
      <c r="F897" s="80"/>
      <c r="G897" s="81"/>
      <c r="H897" s="82"/>
      <c r="I897" s="118">
        <v>46093</v>
      </c>
      <c r="J897" s="73">
        <v>3</v>
      </c>
      <c r="K897" s="122" t="s">
        <v>2029</v>
      </c>
      <c r="L897" s="120">
        <f t="shared" si="26"/>
        <v>46185</v>
      </c>
      <c r="M897" s="121">
        <f ca="1" t="shared" si="27"/>
        <v>82</v>
      </c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>
        <v>895</v>
      </c>
      <c r="B898" s="73" t="s">
        <v>462</v>
      </c>
      <c r="C898" s="73" t="s">
        <v>158</v>
      </c>
      <c r="D898" s="74" t="s">
        <v>2030</v>
      </c>
      <c r="E898" s="79" t="s">
        <v>1668</v>
      </c>
      <c r="F898" s="80"/>
      <c r="G898" s="81"/>
      <c r="H898" s="82"/>
      <c r="I898" s="118">
        <v>46093</v>
      </c>
      <c r="J898" s="73">
        <v>3</v>
      </c>
      <c r="K898" s="122" t="s">
        <v>2031</v>
      </c>
      <c r="L898" s="120">
        <f t="shared" si="26"/>
        <v>46185</v>
      </c>
      <c r="M898" s="121">
        <f ca="1" t="shared" si="27"/>
        <v>82</v>
      </c>
      <c r="N898" s="73"/>
      <c r="O898" s="73"/>
      <c r="P898" s="73"/>
      <c r="Q898" s="74"/>
      <c r="R898" s="79"/>
      <c r="S898" s="80"/>
      <c r="T898" s="81"/>
      <c r="U898" s="130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>
        <v>896</v>
      </c>
      <c r="B899" s="73" t="s">
        <v>462</v>
      </c>
      <c r="C899" s="73" t="s">
        <v>158</v>
      </c>
      <c r="D899" s="74" t="s">
        <v>2032</v>
      </c>
      <c r="E899" s="79" t="s">
        <v>2033</v>
      </c>
      <c r="F899" s="80"/>
      <c r="G899" s="81"/>
      <c r="H899" s="82"/>
      <c r="I899" s="118">
        <v>46093</v>
      </c>
      <c r="J899" s="73">
        <v>3</v>
      </c>
      <c r="K899" s="122" t="s">
        <v>2034</v>
      </c>
      <c r="L899" s="120">
        <f t="shared" ref="L899:L928" si="28">EDATE(I899,J899)</f>
        <v>46185</v>
      </c>
      <c r="M899" s="121">
        <f ca="1" t="shared" ref="M899:M928" si="29">L899-TODAY()</f>
        <v>82</v>
      </c>
      <c r="N899" s="73"/>
      <c r="O899" s="73"/>
      <c r="P899" s="73"/>
      <c r="Q899" s="74"/>
      <c r="R899" s="79"/>
      <c r="S899" s="80"/>
      <c r="T899" s="81"/>
      <c r="U899" s="78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78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>
        <v>897</v>
      </c>
      <c r="B900" s="73" t="s">
        <v>397</v>
      </c>
      <c r="C900" s="73" t="s">
        <v>13</v>
      </c>
      <c r="D900" s="74" t="s">
        <v>2035</v>
      </c>
      <c r="E900" s="79" t="s">
        <v>2036</v>
      </c>
      <c r="F900" s="80"/>
      <c r="G900" s="81"/>
      <c r="H900" s="78" t="s">
        <v>16</v>
      </c>
      <c r="I900" s="118">
        <v>46093</v>
      </c>
      <c r="J900" s="73">
        <v>3</v>
      </c>
      <c r="K900" s="122" t="s">
        <v>2037</v>
      </c>
      <c r="L900" s="120">
        <f t="shared" si="28"/>
        <v>46185</v>
      </c>
      <c r="M900" s="121">
        <f ca="1" t="shared" si="29"/>
        <v>82</v>
      </c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>
        <v>898</v>
      </c>
      <c r="B901" s="73" t="s">
        <v>12</v>
      </c>
      <c r="C901" s="73" t="s">
        <v>27</v>
      </c>
      <c r="D901" s="74" t="s">
        <v>2038</v>
      </c>
      <c r="E901" s="79" t="s">
        <v>118</v>
      </c>
      <c r="F901" s="80"/>
      <c r="G901" s="81"/>
      <c r="H901" s="78" t="s">
        <v>16</v>
      </c>
      <c r="I901" s="118">
        <v>46094</v>
      </c>
      <c r="J901" s="73">
        <v>3</v>
      </c>
      <c r="K901" s="122" t="s">
        <v>2039</v>
      </c>
      <c r="L901" s="120">
        <f t="shared" si="28"/>
        <v>46186</v>
      </c>
      <c r="M901" s="121">
        <f ca="1" t="shared" si="29"/>
        <v>83</v>
      </c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>
        <v>899</v>
      </c>
      <c r="B902" s="73" t="s">
        <v>45</v>
      </c>
      <c r="C902" s="73" t="s">
        <v>13</v>
      </c>
      <c r="D902" s="74" t="s">
        <v>2040</v>
      </c>
      <c r="E902" s="79" t="s">
        <v>47</v>
      </c>
      <c r="F902" s="80"/>
      <c r="G902" s="81"/>
      <c r="H902" s="82"/>
      <c r="I902" s="118">
        <v>46094</v>
      </c>
      <c r="J902" s="73">
        <v>3</v>
      </c>
      <c r="K902" s="122" t="s">
        <v>2041</v>
      </c>
      <c r="L902" s="120">
        <f t="shared" si="28"/>
        <v>46186</v>
      </c>
      <c r="M902" s="121">
        <f ca="1" t="shared" si="29"/>
        <v>83</v>
      </c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>
        <v>900</v>
      </c>
      <c r="B903" s="73" t="s">
        <v>82</v>
      </c>
      <c r="C903" s="73" t="s">
        <v>13</v>
      </c>
      <c r="D903" s="74" t="s">
        <v>2042</v>
      </c>
      <c r="E903" s="79" t="s">
        <v>47</v>
      </c>
      <c r="F903" s="80"/>
      <c r="G903" s="81"/>
      <c r="H903" s="82"/>
      <c r="I903" s="118">
        <v>46094</v>
      </c>
      <c r="J903" s="73">
        <v>3</v>
      </c>
      <c r="K903" s="122" t="s">
        <v>2043</v>
      </c>
      <c r="L903" s="120">
        <f t="shared" si="28"/>
        <v>46186</v>
      </c>
      <c r="M903" s="121">
        <f ca="1" t="shared" si="29"/>
        <v>83</v>
      </c>
      <c r="N903" s="73"/>
      <c r="O903" s="73"/>
      <c r="P903" s="73"/>
      <c r="Q903" s="74"/>
      <c r="R903" s="79"/>
      <c r="S903" s="80"/>
      <c r="T903" s="81"/>
      <c r="U903" s="130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130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2"/>
      <c r="AV903" s="158"/>
      <c r="AW903" s="152"/>
      <c r="AX903" s="122"/>
      <c r="AY903" s="120"/>
      <c r="AZ903" s="121"/>
    </row>
    <row r="904" spans="1:52">
      <c r="A904" s="73">
        <v>901</v>
      </c>
      <c r="B904" s="73" t="s">
        <v>82</v>
      </c>
      <c r="C904" s="73" t="s">
        <v>13</v>
      </c>
      <c r="D904" s="74" t="s">
        <v>2044</v>
      </c>
      <c r="E904" s="79" t="s">
        <v>78</v>
      </c>
      <c r="F904" s="80"/>
      <c r="G904" s="81"/>
      <c r="H904" s="82"/>
      <c r="I904" s="118">
        <v>46094</v>
      </c>
      <c r="J904" s="73">
        <v>3</v>
      </c>
      <c r="K904" s="122" t="s">
        <v>2045</v>
      </c>
      <c r="L904" s="120">
        <f t="shared" si="28"/>
        <v>46186</v>
      </c>
      <c r="M904" s="121">
        <f ca="1" t="shared" si="29"/>
        <v>83</v>
      </c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>
        <v>902</v>
      </c>
      <c r="B905" s="73" t="s">
        <v>82</v>
      </c>
      <c r="C905" s="73" t="s">
        <v>13</v>
      </c>
      <c r="D905" s="74" t="s">
        <v>2046</v>
      </c>
      <c r="E905" s="79" t="s">
        <v>25</v>
      </c>
      <c r="F905" s="80"/>
      <c r="G905" s="81"/>
      <c r="H905" s="82"/>
      <c r="I905" s="118">
        <v>46094</v>
      </c>
      <c r="J905" s="73">
        <v>3</v>
      </c>
      <c r="K905" s="122" t="s">
        <v>2047</v>
      </c>
      <c r="L905" s="120">
        <f t="shared" si="28"/>
        <v>46186</v>
      </c>
      <c r="M905" s="121">
        <f ca="1" t="shared" si="29"/>
        <v>83</v>
      </c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>
        <v>903</v>
      </c>
      <c r="B906" s="73" t="s">
        <v>462</v>
      </c>
      <c r="C906" s="73" t="s">
        <v>13</v>
      </c>
      <c r="D906" s="74" t="s">
        <v>2048</v>
      </c>
      <c r="E906" s="79" t="s">
        <v>78</v>
      </c>
      <c r="F906" s="80"/>
      <c r="G906" s="81"/>
      <c r="H906" s="78" t="s">
        <v>16</v>
      </c>
      <c r="I906" s="118">
        <v>46094</v>
      </c>
      <c r="J906" s="73">
        <v>3</v>
      </c>
      <c r="K906" s="122" t="s">
        <v>2049</v>
      </c>
      <c r="L906" s="120">
        <f t="shared" si="28"/>
        <v>46186</v>
      </c>
      <c r="M906" s="121">
        <f ca="1" t="shared" si="29"/>
        <v>83</v>
      </c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>
        <v>904</v>
      </c>
      <c r="B907" s="73" t="s">
        <v>731</v>
      </c>
      <c r="C907" s="73" t="s">
        <v>13</v>
      </c>
      <c r="D907" s="74" t="s">
        <v>2050</v>
      </c>
      <c r="E907" s="79" t="s">
        <v>47</v>
      </c>
      <c r="F907" s="80"/>
      <c r="G907" s="81"/>
      <c r="H907" s="82"/>
      <c r="I907" s="118">
        <v>46094</v>
      </c>
      <c r="J907" s="73">
        <v>3</v>
      </c>
      <c r="K907" s="122" t="s">
        <v>2051</v>
      </c>
      <c r="L907" s="120">
        <f t="shared" si="28"/>
        <v>46186</v>
      </c>
      <c r="M907" s="121">
        <f ca="1" t="shared" si="29"/>
        <v>83</v>
      </c>
      <c r="N907" s="73"/>
      <c r="O907" s="73"/>
      <c r="P907" s="73"/>
      <c r="Q907" s="74"/>
      <c r="R907" s="79"/>
      <c r="S907" s="80"/>
      <c r="T907" s="81"/>
      <c r="U907" s="78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78"/>
      <c r="AI907" s="118"/>
      <c r="AJ907" s="73"/>
      <c r="AK907" s="119"/>
      <c r="AL907" s="120"/>
      <c r="AM907" s="121"/>
      <c r="AN907" s="152"/>
      <c r="AO907" s="73"/>
      <c r="AP907" s="73"/>
      <c r="AQ907" s="74"/>
      <c r="AR907" s="79"/>
      <c r="AS907" s="80"/>
      <c r="AT907" s="81"/>
      <c r="AU907" s="89"/>
      <c r="AV907" s="158"/>
      <c r="AW907" s="152"/>
      <c r="AX907" s="122"/>
      <c r="AY907" s="120"/>
      <c r="AZ907" s="121"/>
    </row>
    <row r="908" spans="1:52">
      <c r="A908" s="73">
        <v>905</v>
      </c>
      <c r="B908" s="73" t="s">
        <v>780</v>
      </c>
      <c r="C908" s="73" t="s">
        <v>13</v>
      </c>
      <c r="D908" s="74" t="s">
        <v>2052</v>
      </c>
      <c r="E908" s="79" t="s">
        <v>51</v>
      </c>
      <c r="F908" s="80"/>
      <c r="G908" s="81"/>
      <c r="H908" s="130" t="s">
        <v>16</v>
      </c>
      <c r="I908" s="118">
        <v>46094</v>
      </c>
      <c r="J908" s="73">
        <v>3</v>
      </c>
      <c r="K908" s="122" t="s">
        <v>2053</v>
      </c>
      <c r="L908" s="120">
        <f t="shared" si="28"/>
        <v>46186</v>
      </c>
      <c r="M908" s="121">
        <f ca="1" t="shared" si="29"/>
        <v>83</v>
      </c>
      <c r="N908" s="73"/>
      <c r="O908" s="73"/>
      <c r="P908" s="73"/>
      <c r="Q908" s="74"/>
      <c r="R908" s="79"/>
      <c r="S908" s="80"/>
      <c r="T908" s="81"/>
      <c r="U908" s="250"/>
      <c r="V908" s="229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130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>
        <v>906</v>
      </c>
      <c r="B909" s="73" t="s">
        <v>780</v>
      </c>
      <c r="C909" s="73" t="s">
        <v>13</v>
      </c>
      <c r="D909" s="74" t="s">
        <v>2054</v>
      </c>
      <c r="E909" s="79" t="s">
        <v>210</v>
      </c>
      <c r="F909" s="80"/>
      <c r="G909" s="81"/>
      <c r="H909" s="130" t="s">
        <v>16</v>
      </c>
      <c r="I909" s="118">
        <v>46094</v>
      </c>
      <c r="J909" s="73">
        <v>3</v>
      </c>
      <c r="K909" s="122" t="s">
        <v>2055</v>
      </c>
      <c r="L909" s="120">
        <f t="shared" si="28"/>
        <v>46186</v>
      </c>
      <c r="M909" s="121">
        <f ca="1" t="shared" si="29"/>
        <v>83</v>
      </c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>
        <v>907</v>
      </c>
      <c r="B910" s="73" t="s">
        <v>780</v>
      </c>
      <c r="C910" s="73" t="s">
        <v>27</v>
      </c>
      <c r="D910" s="74" t="s">
        <v>2056</v>
      </c>
      <c r="E910" s="79" t="s">
        <v>118</v>
      </c>
      <c r="F910" s="80"/>
      <c r="G910" s="81"/>
      <c r="H910" s="82"/>
      <c r="I910" s="118">
        <v>46094</v>
      </c>
      <c r="J910" s="73">
        <v>3</v>
      </c>
      <c r="K910" s="122" t="s">
        <v>2057</v>
      </c>
      <c r="L910" s="120">
        <f t="shared" si="28"/>
        <v>46186</v>
      </c>
      <c r="M910" s="121">
        <f ca="1" t="shared" si="29"/>
        <v>83</v>
      </c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>
        <v>908</v>
      </c>
      <c r="B911" s="73" t="s">
        <v>324</v>
      </c>
      <c r="C911" s="73" t="s">
        <v>13</v>
      </c>
      <c r="D911" s="74" t="s">
        <v>2058</v>
      </c>
      <c r="E911" s="79" t="s">
        <v>2059</v>
      </c>
      <c r="F911" s="80"/>
      <c r="G911" s="81"/>
      <c r="H911" s="82"/>
      <c r="I911" s="118">
        <v>46094</v>
      </c>
      <c r="J911" s="73">
        <v>3</v>
      </c>
      <c r="K911" s="122" t="s">
        <v>2060</v>
      </c>
      <c r="L911" s="120">
        <f t="shared" si="28"/>
        <v>46186</v>
      </c>
      <c r="M911" s="121">
        <f ca="1" t="shared" si="29"/>
        <v>83</v>
      </c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>
        <v>909</v>
      </c>
      <c r="B912" s="73" t="s">
        <v>106</v>
      </c>
      <c r="C912" s="73" t="s">
        <v>27</v>
      </c>
      <c r="D912" s="74" t="s">
        <v>2061</v>
      </c>
      <c r="E912" s="79" t="s">
        <v>2062</v>
      </c>
      <c r="F912" s="80"/>
      <c r="G912" s="81"/>
      <c r="H912" s="82"/>
      <c r="I912" s="118">
        <v>46094</v>
      </c>
      <c r="J912" s="73">
        <v>3</v>
      </c>
      <c r="K912" s="122" t="s">
        <v>2063</v>
      </c>
      <c r="L912" s="120">
        <f t="shared" si="28"/>
        <v>46186</v>
      </c>
      <c r="M912" s="121">
        <f ca="1" t="shared" si="29"/>
        <v>83</v>
      </c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>
        <v>910</v>
      </c>
      <c r="B913" s="73" t="s">
        <v>462</v>
      </c>
      <c r="C913" s="73" t="s">
        <v>158</v>
      </c>
      <c r="D913" s="74" t="s">
        <v>2064</v>
      </c>
      <c r="E913" s="79" t="s">
        <v>1702</v>
      </c>
      <c r="F913" s="80"/>
      <c r="G913" s="81"/>
      <c r="H913" s="82"/>
      <c r="I913" s="118">
        <v>46094</v>
      </c>
      <c r="J913" s="73">
        <v>3</v>
      </c>
      <c r="K913" s="122" t="s">
        <v>2065</v>
      </c>
      <c r="L913" s="120">
        <f t="shared" si="28"/>
        <v>46186</v>
      </c>
      <c r="M913" s="121">
        <f ca="1" t="shared" si="29"/>
        <v>83</v>
      </c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78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>
        <v>911</v>
      </c>
      <c r="B914" s="73" t="s">
        <v>462</v>
      </c>
      <c r="C914" s="73" t="s">
        <v>158</v>
      </c>
      <c r="D914" s="74" t="s">
        <v>2066</v>
      </c>
      <c r="E914" s="79" t="s">
        <v>1699</v>
      </c>
      <c r="F914" s="80"/>
      <c r="G914" s="81"/>
      <c r="H914" s="82"/>
      <c r="I914" s="118">
        <v>46094</v>
      </c>
      <c r="J914" s="73">
        <v>3</v>
      </c>
      <c r="K914" s="122" t="s">
        <v>2067</v>
      </c>
      <c r="L914" s="120">
        <f t="shared" si="28"/>
        <v>46186</v>
      </c>
      <c r="M914" s="121">
        <f ca="1" t="shared" si="29"/>
        <v>83</v>
      </c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>
        <v>912</v>
      </c>
      <c r="B915" s="73" t="s">
        <v>462</v>
      </c>
      <c r="C915" s="73" t="s">
        <v>158</v>
      </c>
      <c r="D915" s="74" t="s">
        <v>2068</v>
      </c>
      <c r="E915" s="79" t="s">
        <v>2069</v>
      </c>
      <c r="F915" s="80"/>
      <c r="G915" s="81"/>
      <c r="H915" s="82"/>
      <c r="I915" s="118">
        <v>46094</v>
      </c>
      <c r="J915" s="73">
        <v>3</v>
      </c>
      <c r="K915" s="122" t="s">
        <v>2070</v>
      </c>
      <c r="L915" s="120">
        <f t="shared" si="28"/>
        <v>46186</v>
      </c>
      <c r="M915" s="121">
        <f ca="1" t="shared" si="29"/>
        <v>83</v>
      </c>
      <c r="N915" s="73"/>
      <c r="O915" s="73"/>
      <c r="P915" s="73"/>
      <c r="Q915" s="74"/>
      <c r="R915" s="79"/>
      <c r="S915" s="80"/>
      <c r="T915" s="81"/>
      <c r="U915" s="78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>
        <v>913</v>
      </c>
      <c r="B916" s="73" t="s">
        <v>2071</v>
      </c>
      <c r="C916" s="73" t="s">
        <v>228</v>
      </c>
      <c r="D916" s="74" t="s">
        <v>2072</v>
      </c>
      <c r="E916" s="79" t="s">
        <v>2073</v>
      </c>
      <c r="F916" s="80"/>
      <c r="G916" s="81"/>
      <c r="H916" s="130" t="s">
        <v>16</v>
      </c>
      <c r="I916" s="118">
        <v>46094</v>
      </c>
      <c r="J916" s="73">
        <v>3</v>
      </c>
      <c r="K916" s="122" t="s">
        <v>2074</v>
      </c>
      <c r="L916" s="120">
        <f t="shared" si="28"/>
        <v>46186</v>
      </c>
      <c r="M916" s="121">
        <f ca="1" t="shared" si="29"/>
        <v>83</v>
      </c>
      <c r="N916" s="73"/>
      <c r="O916" s="73"/>
      <c r="P916" s="73"/>
      <c r="Q916" s="74"/>
      <c r="R916" s="79"/>
      <c r="S916" s="80"/>
      <c r="T916" s="81"/>
      <c r="U916" s="130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>
        <v>914</v>
      </c>
      <c r="B917" s="73" t="s">
        <v>2075</v>
      </c>
      <c r="C917" s="73" t="s">
        <v>228</v>
      </c>
      <c r="D917" s="74" t="s">
        <v>2076</v>
      </c>
      <c r="E917" s="79" t="s">
        <v>2077</v>
      </c>
      <c r="F917" s="80"/>
      <c r="G917" s="81"/>
      <c r="H917" s="130" t="s">
        <v>16</v>
      </c>
      <c r="I917" s="118">
        <v>46094</v>
      </c>
      <c r="J917" s="73">
        <v>3</v>
      </c>
      <c r="K917" s="122" t="s">
        <v>2078</v>
      </c>
      <c r="L917" s="120">
        <f t="shared" si="28"/>
        <v>46186</v>
      </c>
      <c r="M917" s="121">
        <f ca="1" t="shared" si="29"/>
        <v>83</v>
      </c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>
        <v>915</v>
      </c>
      <c r="B918" s="73" t="s">
        <v>2075</v>
      </c>
      <c r="C918" s="73" t="s">
        <v>228</v>
      </c>
      <c r="D918" s="74" t="s">
        <v>2079</v>
      </c>
      <c r="E918" s="79" t="s">
        <v>2080</v>
      </c>
      <c r="F918" s="80"/>
      <c r="G918" s="81"/>
      <c r="H918" s="130" t="s">
        <v>16</v>
      </c>
      <c r="I918" s="118">
        <v>46094</v>
      </c>
      <c r="J918" s="73">
        <v>3</v>
      </c>
      <c r="K918" s="122" t="s">
        <v>2081</v>
      </c>
      <c r="L918" s="120">
        <f t="shared" si="28"/>
        <v>46186</v>
      </c>
      <c r="M918" s="121">
        <f ca="1" t="shared" si="29"/>
        <v>83</v>
      </c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>
        <v>916</v>
      </c>
      <c r="B919" s="73" t="s">
        <v>742</v>
      </c>
      <c r="C919" s="73" t="s">
        <v>27</v>
      </c>
      <c r="D919" s="74" t="s">
        <v>2082</v>
      </c>
      <c r="E919" s="79" t="s">
        <v>452</v>
      </c>
      <c r="F919" s="80"/>
      <c r="G919" s="81"/>
      <c r="H919" s="82"/>
      <c r="I919" s="118">
        <v>46095</v>
      </c>
      <c r="J919" s="73">
        <v>3</v>
      </c>
      <c r="K919" s="122" t="s">
        <v>2083</v>
      </c>
      <c r="L919" s="120">
        <f t="shared" si="28"/>
        <v>46187</v>
      </c>
      <c r="M919" s="121">
        <f ca="1" t="shared" si="29"/>
        <v>84</v>
      </c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>
        <v>917</v>
      </c>
      <c r="B920" s="73" t="s">
        <v>140</v>
      </c>
      <c r="C920" s="73" t="s">
        <v>13</v>
      </c>
      <c r="D920" s="74" t="s">
        <v>2084</v>
      </c>
      <c r="E920" s="79" t="s">
        <v>84</v>
      </c>
      <c r="F920" s="80"/>
      <c r="G920" s="81"/>
      <c r="H920" s="82"/>
      <c r="I920" s="118">
        <v>46095</v>
      </c>
      <c r="J920" s="73">
        <v>3</v>
      </c>
      <c r="K920" s="122" t="s">
        <v>2085</v>
      </c>
      <c r="L920" s="120">
        <f t="shared" si="28"/>
        <v>46187</v>
      </c>
      <c r="M920" s="121">
        <f ca="1" t="shared" si="29"/>
        <v>84</v>
      </c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>
        <v>918</v>
      </c>
      <c r="B921" s="73" t="s">
        <v>780</v>
      </c>
      <c r="C921" s="73" t="s">
        <v>13</v>
      </c>
      <c r="D921" s="74" t="s">
        <v>2086</v>
      </c>
      <c r="E921" s="79" t="s">
        <v>47</v>
      </c>
      <c r="F921" s="80"/>
      <c r="G921" s="81"/>
      <c r="H921" s="82"/>
      <c r="I921" s="118">
        <v>46095</v>
      </c>
      <c r="J921" s="73">
        <v>3</v>
      </c>
      <c r="K921" s="122" t="s">
        <v>2087</v>
      </c>
      <c r="L921" s="120">
        <f t="shared" si="28"/>
        <v>46187</v>
      </c>
      <c r="M921" s="121">
        <f ca="1" t="shared" si="29"/>
        <v>84</v>
      </c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>
        <v>919</v>
      </c>
      <c r="B922" s="73" t="s">
        <v>2088</v>
      </c>
      <c r="C922" s="73" t="s">
        <v>27</v>
      </c>
      <c r="D922" s="74" t="s">
        <v>2089</v>
      </c>
      <c r="E922" s="79" t="s">
        <v>2090</v>
      </c>
      <c r="F922" s="80"/>
      <c r="G922" s="81"/>
      <c r="H922" s="89" t="s">
        <v>16</v>
      </c>
      <c r="I922" s="118">
        <v>46095</v>
      </c>
      <c r="J922" s="73">
        <v>3</v>
      </c>
      <c r="K922" s="122" t="s">
        <v>2091</v>
      </c>
      <c r="L922" s="120">
        <f t="shared" si="28"/>
        <v>46187</v>
      </c>
      <c r="M922" s="121">
        <f ca="1" t="shared" si="29"/>
        <v>84</v>
      </c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>
        <v>920</v>
      </c>
      <c r="B923" s="73" t="s">
        <v>1832</v>
      </c>
      <c r="C923" s="73" t="s">
        <v>27</v>
      </c>
      <c r="D923" s="74" t="s">
        <v>2092</v>
      </c>
      <c r="E923" s="79" t="s">
        <v>1169</v>
      </c>
      <c r="F923" s="80"/>
      <c r="G923" s="81"/>
      <c r="H923" s="89" t="s">
        <v>16</v>
      </c>
      <c r="I923" s="118">
        <v>46095</v>
      </c>
      <c r="J923" s="73">
        <v>3</v>
      </c>
      <c r="K923" s="122" t="s">
        <v>2093</v>
      </c>
      <c r="L923" s="120">
        <f t="shared" si="28"/>
        <v>46187</v>
      </c>
      <c r="M923" s="121">
        <f ca="1" t="shared" si="29"/>
        <v>84</v>
      </c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>
        <v>921</v>
      </c>
      <c r="B924" s="73" t="s">
        <v>45</v>
      </c>
      <c r="C924" s="73" t="s">
        <v>228</v>
      </c>
      <c r="D924" s="74" t="s">
        <v>2094</v>
      </c>
      <c r="E924" s="79" t="s">
        <v>2095</v>
      </c>
      <c r="F924" s="80"/>
      <c r="G924" s="81"/>
      <c r="H924" s="89" t="s">
        <v>16</v>
      </c>
      <c r="I924" s="118">
        <v>46095</v>
      </c>
      <c r="J924" s="73">
        <v>3</v>
      </c>
      <c r="K924" s="122" t="s">
        <v>2096</v>
      </c>
      <c r="L924" s="120">
        <f t="shared" si="28"/>
        <v>46187</v>
      </c>
      <c r="M924" s="121">
        <f ca="1" t="shared" si="29"/>
        <v>84</v>
      </c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>
        <v>922</v>
      </c>
      <c r="B925" s="73" t="s">
        <v>2097</v>
      </c>
      <c r="C925" s="73" t="s">
        <v>228</v>
      </c>
      <c r="D925" s="74" t="s">
        <v>2098</v>
      </c>
      <c r="E925" s="79" t="s">
        <v>2099</v>
      </c>
      <c r="F925" s="80"/>
      <c r="G925" s="81"/>
      <c r="H925" s="89" t="s">
        <v>16</v>
      </c>
      <c r="I925" s="118">
        <v>46095</v>
      </c>
      <c r="J925" s="73">
        <v>3</v>
      </c>
      <c r="K925" s="122" t="s">
        <v>2100</v>
      </c>
      <c r="L925" s="120">
        <f t="shared" si="28"/>
        <v>46187</v>
      </c>
      <c r="M925" s="121">
        <f ca="1" t="shared" si="29"/>
        <v>84</v>
      </c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>
        <v>923</v>
      </c>
      <c r="B926" s="73" t="s">
        <v>2101</v>
      </c>
      <c r="C926" s="73" t="s">
        <v>228</v>
      </c>
      <c r="D926" s="74" t="s">
        <v>2102</v>
      </c>
      <c r="E926" s="79" t="s">
        <v>2103</v>
      </c>
      <c r="F926" s="80"/>
      <c r="G926" s="81"/>
      <c r="H926" s="89" t="s">
        <v>16</v>
      </c>
      <c r="I926" s="118">
        <v>46095</v>
      </c>
      <c r="J926" s="73">
        <v>3</v>
      </c>
      <c r="K926" s="122" t="s">
        <v>2104</v>
      </c>
      <c r="L926" s="120">
        <f t="shared" si="28"/>
        <v>46187</v>
      </c>
      <c r="M926" s="121">
        <f ca="1" t="shared" si="29"/>
        <v>84</v>
      </c>
      <c r="N926" s="73"/>
      <c r="O926" s="73"/>
      <c r="P926" s="73"/>
      <c r="Q926" s="74"/>
      <c r="R926" s="79"/>
      <c r="S926" s="80"/>
      <c r="T926" s="81"/>
      <c r="U926" s="78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>
        <v>924</v>
      </c>
      <c r="B927" s="73" t="s">
        <v>162</v>
      </c>
      <c r="C927" s="73" t="s">
        <v>158</v>
      </c>
      <c r="D927" s="74" t="s">
        <v>965</v>
      </c>
      <c r="E927" s="79" t="s">
        <v>2105</v>
      </c>
      <c r="F927" s="80"/>
      <c r="G927" s="81"/>
      <c r="H927" s="82"/>
      <c r="I927" s="118">
        <v>46095</v>
      </c>
      <c r="J927" s="73" t="s">
        <v>473</v>
      </c>
      <c r="K927" s="122"/>
      <c r="L927" s="120" t="e">
        <f t="shared" si="28"/>
        <v>#VALUE!</v>
      </c>
      <c r="M927" s="121" t="e">
        <f ca="1" t="shared" si="29"/>
        <v>#VALUE!</v>
      </c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>
        <v>925</v>
      </c>
      <c r="B928" s="73" t="s">
        <v>780</v>
      </c>
      <c r="C928" s="73" t="s">
        <v>27</v>
      </c>
      <c r="D928" s="74" t="s">
        <v>2106</v>
      </c>
      <c r="E928" s="79" t="s">
        <v>118</v>
      </c>
      <c r="F928" s="80"/>
      <c r="G928" s="81"/>
      <c r="H928" s="89" t="s">
        <v>16</v>
      </c>
      <c r="I928" s="118">
        <v>46095</v>
      </c>
      <c r="J928" s="73">
        <v>3</v>
      </c>
      <c r="K928" s="122" t="s">
        <v>2107</v>
      </c>
      <c r="L928" s="120">
        <f t="shared" si="28"/>
        <v>46187</v>
      </c>
      <c r="M928" s="121">
        <f ca="1" t="shared" si="29"/>
        <v>84</v>
      </c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>
        <v>926</v>
      </c>
      <c r="B929" s="73" t="s">
        <v>162</v>
      </c>
      <c r="C929" s="73" t="s">
        <v>158</v>
      </c>
      <c r="D929" s="74" t="s">
        <v>163</v>
      </c>
      <c r="E929" s="106" t="s">
        <v>164</v>
      </c>
      <c r="F929" s="107"/>
      <c r="G929" s="108"/>
      <c r="H929" s="82"/>
      <c r="I929" s="118">
        <v>46096</v>
      </c>
      <c r="J929" s="73" t="s">
        <v>473</v>
      </c>
      <c r="K929" s="122" t="s">
        <v>2108</v>
      </c>
      <c r="L929" s="120" t="e">
        <f t="shared" ref="L929:L963" si="30">EDATE(I929,J929)</f>
        <v>#VALUE!</v>
      </c>
      <c r="M929" s="121" t="e">
        <f ca="1" t="shared" ref="M929:M963" si="31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>
        <v>927</v>
      </c>
      <c r="B930" s="73" t="s">
        <v>223</v>
      </c>
      <c r="C930" s="73" t="s">
        <v>158</v>
      </c>
      <c r="D930" s="74" t="s">
        <v>224</v>
      </c>
      <c r="E930" s="79" t="s">
        <v>225</v>
      </c>
      <c r="F930" s="80"/>
      <c r="G930" s="81"/>
      <c r="H930" s="82"/>
      <c r="I930" s="118">
        <v>46096</v>
      </c>
      <c r="J930" s="73" t="s">
        <v>473</v>
      </c>
      <c r="K930" s="122" t="s">
        <v>2109</v>
      </c>
      <c r="L930" s="120" t="e">
        <f t="shared" si="30"/>
        <v>#VALUE!</v>
      </c>
      <c r="M930" s="121" t="e">
        <f ca="1" t="shared" si="31"/>
        <v>#VALUE!</v>
      </c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>
        <v>928</v>
      </c>
      <c r="B931" s="73" t="s">
        <v>82</v>
      </c>
      <c r="C931" s="73" t="s">
        <v>27</v>
      </c>
      <c r="D931" s="74" t="s">
        <v>2110</v>
      </c>
      <c r="E931" s="79" t="s">
        <v>29</v>
      </c>
      <c r="F931" s="80"/>
      <c r="G931" s="81"/>
      <c r="H931" s="89" t="s">
        <v>16</v>
      </c>
      <c r="I931" s="118">
        <v>46096</v>
      </c>
      <c r="J931" s="73">
        <v>3</v>
      </c>
      <c r="K931" s="122" t="s">
        <v>2111</v>
      </c>
      <c r="L931" s="120">
        <f t="shared" si="30"/>
        <v>46188</v>
      </c>
      <c r="M931" s="121">
        <f ca="1" t="shared" si="31"/>
        <v>85</v>
      </c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>
        <v>929</v>
      </c>
      <c r="B932" s="73" t="s">
        <v>827</v>
      </c>
      <c r="C932" s="73" t="s">
        <v>13</v>
      </c>
      <c r="D932" s="74" t="s">
        <v>2112</v>
      </c>
      <c r="E932" s="79" t="s">
        <v>194</v>
      </c>
      <c r="F932" s="80"/>
      <c r="G932" s="81"/>
      <c r="H932" s="89" t="s">
        <v>16</v>
      </c>
      <c r="I932" s="118">
        <v>46097</v>
      </c>
      <c r="J932" s="73">
        <v>3</v>
      </c>
      <c r="K932" s="122" t="s">
        <v>2113</v>
      </c>
      <c r="L932" s="120">
        <f t="shared" si="30"/>
        <v>46189</v>
      </c>
      <c r="M932" s="121">
        <f ca="1" t="shared" si="31"/>
        <v>86</v>
      </c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>
        <v>930</v>
      </c>
      <c r="B933" s="73" t="s">
        <v>827</v>
      </c>
      <c r="C933" s="73" t="s">
        <v>13</v>
      </c>
      <c r="D933" s="74" t="s">
        <v>2114</v>
      </c>
      <c r="E933" s="79" t="s">
        <v>2115</v>
      </c>
      <c r="F933" s="80"/>
      <c r="G933" s="81"/>
      <c r="H933" s="89" t="s">
        <v>16</v>
      </c>
      <c r="I933" s="118">
        <v>46097</v>
      </c>
      <c r="J933" s="73">
        <v>3</v>
      </c>
      <c r="K933" s="122" t="s">
        <v>2116</v>
      </c>
      <c r="L933" s="120">
        <f t="shared" si="30"/>
        <v>46189</v>
      </c>
      <c r="M933" s="121">
        <f ca="1" t="shared" si="31"/>
        <v>86</v>
      </c>
      <c r="N933" s="73"/>
      <c r="O933" s="73"/>
      <c r="P933" s="73"/>
      <c r="Q933" s="74"/>
      <c r="R933" s="79"/>
      <c r="S933" s="80"/>
      <c r="T933" s="81"/>
      <c r="U933" s="78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78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>
        <v>931</v>
      </c>
      <c r="B934" s="73" t="s">
        <v>827</v>
      </c>
      <c r="C934" s="73" t="s">
        <v>13</v>
      </c>
      <c r="D934" s="74" t="s">
        <v>2117</v>
      </c>
      <c r="E934" s="79" t="s">
        <v>2118</v>
      </c>
      <c r="F934" s="80"/>
      <c r="G934" s="81"/>
      <c r="H934" s="89" t="s">
        <v>16</v>
      </c>
      <c r="I934" s="118">
        <v>46097</v>
      </c>
      <c r="J934" s="73">
        <v>3</v>
      </c>
      <c r="K934" s="122" t="s">
        <v>2119</v>
      </c>
      <c r="L934" s="120">
        <f t="shared" si="30"/>
        <v>46189</v>
      </c>
      <c r="M934" s="121">
        <f ca="1" t="shared" si="31"/>
        <v>86</v>
      </c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>
        <v>932</v>
      </c>
      <c r="B935" s="73" t="s">
        <v>2120</v>
      </c>
      <c r="C935" s="73" t="s">
        <v>27</v>
      </c>
      <c r="D935" s="74" t="s">
        <v>2121</v>
      </c>
      <c r="E935" s="79" t="s">
        <v>205</v>
      </c>
      <c r="F935" s="80"/>
      <c r="G935" s="81"/>
      <c r="H935" s="82"/>
      <c r="I935" s="118">
        <v>46097</v>
      </c>
      <c r="J935" s="73">
        <v>3</v>
      </c>
      <c r="K935" s="122" t="s">
        <v>2122</v>
      </c>
      <c r="L935" s="120">
        <f t="shared" si="30"/>
        <v>46189</v>
      </c>
      <c r="M935" s="121">
        <f ca="1" t="shared" si="31"/>
        <v>86</v>
      </c>
      <c r="N935" s="73"/>
      <c r="O935" s="73"/>
      <c r="P935" s="73"/>
      <c r="Q935" s="74"/>
      <c r="R935" s="79"/>
      <c r="S935" s="80"/>
      <c r="T935" s="81"/>
      <c r="U935" s="78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78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>
        <v>933</v>
      </c>
      <c r="B936" s="73" t="s">
        <v>157</v>
      </c>
      <c r="C936" s="73" t="s">
        <v>158</v>
      </c>
      <c r="D936" s="74" t="s">
        <v>159</v>
      </c>
      <c r="E936" s="79" t="s">
        <v>160</v>
      </c>
      <c r="F936" s="80"/>
      <c r="G936" s="81"/>
      <c r="H936" s="82"/>
      <c r="I936" s="118">
        <v>46097</v>
      </c>
      <c r="J936" s="73" t="s">
        <v>473</v>
      </c>
      <c r="K936" s="122"/>
      <c r="L936" s="120" t="e">
        <f t="shared" si="30"/>
        <v>#VALUE!</v>
      </c>
      <c r="M936" s="121" t="e">
        <f ca="1" t="shared" si="31"/>
        <v>#VALUE!</v>
      </c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>
        <v>934</v>
      </c>
      <c r="B937" s="73" t="s">
        <v>1564</v>
      </c>
      <c r="C937" s="73" t="s">
        <v>158</v>
      </c>
      <c r="D937" s="74" t="s">
        <v>2123</v>
      </c>
      <c r="E937" s="79" t="s">
        <v>167</v>
      </c>
      <c r="F937" s="80"/>
      <c r="G937" s="81"/>
      <c r="H937" s="82"/>
      <c r="I937" s="118">
        <v>46097</v>
      </c>
      <c r="J937" s="73">
        <v>3</v>
      </c>
      <c r="K937" s="122" t="s">
        <v>2124</v>
      </c>
      <c r="L937" s="120">
        <f t="shared" si="30"/>
        <v>46189</v>
      </c>
      <c r="M937" s="121">
        <f ca="1" t="shared" si="31"/>
        <v>86</v>
      </c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>
        <v>934</v>
      </c>
      <c r="B938" s="73" t="s">
        <v>856</v>
      </c>
      <c r="C938" s="73" t="s">
        <v>228</v>
      </c>
      <c r="D938" s="276" t="s">
        <v>2125</v>
      </c>
      <c r="E938" s="79" t="s">
        <v>546</v>
      </c>
      <c r="F938" s="80"/>
      <c r="G938" s="81"/>
      <c r="H938" s="82"/>
      <c r="I938" s="118">
        <v>46097</v>
      </c>
      <c r="J938" s="73">
        <v>3</v>
      </c>
      <c r="K938" s="122" t="s">
        <v>2126</v>
      </c>
      <c r="L938" s="120">
        <f t="shared" si="30"/>
        <v>46189</v>
      </c>
      <c r="M938" s="121">
        <f ca="1" t="shared" si="31"/>
        <v>86</v>
      </c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>
        <v>935</v>
      </c>
      <c r="B939" s="73" t="s">
        <v>856</v>
      </c>
      <c r="C939" s="73" t="s">
        <v>228</v>
      </c>
      <c r="D939" s="276" t="s">
        <v>2127</v>
      </c>
      <c r="E939" s="79" t="s">
        <v>546</v>
      </c>
      <c r="F939" s="80"/>
      <c r="G939" s="81"/>
      <c r="H939" s="82"/>
      <c r="I939" s="118">
        <v>46097</v>
      </c>
      <c r="J939" s="73">
        <v>3</v>
      </c>
      <c r="K939" s="122" t="s">
        <v>2128</v>
      </c>
      <c r="L939" s="120">
        <f t="shared" si="30"/>
        <v>46189</v>
      </c>
      <c r="M939" s="121">
        <f ca="1" t="shared" si="31"/>
        <v>86</v>
      </c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>
        <v>936</v>
      </c>
      <c r="B940" s="73" t="s">
        <v>856</v>
      </c>
      <c r="C940" s="73" t="s">
        <v>228</v>
      </c>
      <c r="D940" s="276" t="s">
        <v>2129</v>
      </c>
      <c r="E940" s="79" t="s">
        <v>546</v>
      </c>
      <c r="F940" s="80"/>
      <c r="G940" s="81"/>
      <c r="H940" s="82"/>
      <c r="I940" s="118">
        <v>46097</v>
      </c>
      <c r="J940" s="73">
        <v>3</v>
      </c>
      <c r="K940" s="122" t="s">
        <v>2130</v>
      </c>
      <c r="L940" s="120">
        <f t="shared" si="30"/>
        <v>46189</v>
      </c>
      <c r="M940" s="121">
        <f ca="1" t="shared" si="31"/>
        <v>86</v>
      </c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>
        <v>937</v>
      </c>
      <c r="B941" s="73" t="s">
        <v>856</v>
      </c>
      <c r="C941" s="73" t="s">
        <v>228</v>
      </c>
      <c r="D941" s="276" t="s">
        <v>2131</v>
      </c>
      <c r="E941" s="79" t="s">
        <v>546</v>
      </c>
      <c r="F941" s="80"/>
      <c r="G941" s="81"/>
      <c r="H941" s="82"/>
      <c r="I941" s="118">
        <v>46097</v>
      </c>
      <c r="J941" s="73">
        <v>3</v>
      </c>
      <c r="K941" s="122" t="s">
        <v>2132</v>
      </c>
      <c r="L941" s="120">
        <f t="shared" si="30"/>
        <v>46189</v>
      </c>
      <c r="M941" s="121">
        <f ca="1" t="shared" si="31"/>
        <v>86</v>
      </c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>
        <v>938</v>
      </c>
      <c r="B942" s="73" t="s">
        <v>856</v>
      </c>
      <c r="C942" s="73" t="s">
        <v>228</v>
      </c>
      <c r="D942" s="276" t="s">
        <v>2133</v>
      </c>
      <c r="E942" s="79" t="s">
        <v>546</v>
      </c>
      <c r="F942" s="80"/>
      <c r="G942" s="81"/>
      <c r="H942" s="82"/>
      <c r="I942" s="118">
        <v>46097</v>
      </c>
      <c r="J942" s="73">
        <v>3</v>
      </c>
      <c r="K942" s="122" t="s">
        <v>2134</v>
      </c>
      <c r="L942" s="120">
        <f t="shared" si="30"/>
        <v>46189</v>
      </c>
      <c r="M942" s="121">
        <f ca="1" t="shared" si="31"/>
        <v>86</v>
      </c>
      <c r="N942" s="73"/>
      <c r="O942" s="73"/>
      <c r="P942" s="73"/>
      <c r="Q942" s="74"/>
      <c r="R942" s="79"/>
      <c r="S942" s="80"/>
      <c r="T942" s="81"/>
      <c r="U942" s="78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78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>
        <v>939</v>
      </c>
      <c r="B943" s="73" t="s">
        <v>856</v>
      </c>
      <c r="C943" s="73" t="s">
        <v>228</v>
      </c>
      <c r="D943" s="276" t="s">
        <v>2135</v>
      </c>
      <c r="E943" s="79" t="s">
        <v>546</v>
      </c>
      <c r="F943" s="80"/>
      <c r="G943" s="81"/>
      <c r="H943" s="82"/>
      <c r="I943" s="118">
        <v>46097</v>
      </c>
      <c r="J943" s="73">
        <v>3</v>
      </c>
      <c r="K943" s="122" t="s">
        <v>2136</v>
      </c>
      <c r="L943" s="120">
        <f t="shared" si="30"/>
        <v>46189</v>
      </c>
      <c r="M943" s="121">
        <f ca="1" t="shared" si="31"/>
        <v>86</v>
      </c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>
        <v>940</v>
      </c>
      <c r="B944" s="73" t="s">
        <v>856</v>
      </c>
      <c r="C944" s="73" t="s">
        <v>228</v>
      </c>
      <c r="D944" s="276" t="s">
        <v>2137</v>
      </c>
      <c r="E944" s="79" t="s">
        <v>546</v>
      </c>
      <c r="F944" s="80"/>
      <c r="G944" s="81"/>
      <c r="H944" s="82"/>
      <c r="I944" s="118">
        <v>46097</v>
      </c>
      <c r="J944" s="73">
        <v>3</v>
      </c>
      <c r="K944" s="122" t="s">
        <v>2138</v>
      </c>
      <c r="L944" s="120">
        <f t="shared" si="30"/>
        <v>46189</v>
      </c>
      <c r="M944" s="121">
        <f ca="1" t="shared" si="31"/>
        <v>86</v>
      </c>
      <c r="N944" s="73"/>
      <c r="O944" s="73"/>
      <c r="P944" s="73"/>
      <c r="Q944" s="74"/>
      <c r="R944" s="79"/>
      <c r="S944" s="80"/>
      <c r="T944" s="81"/>
      <c r="U944" s="78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78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>
        <v>941</v>
      </c>
      <c r="B945" s="73" t="s">
        <v>856</v>
      </c>
      <c r="C945" s="73" t="s">
        <v>228</v>
      </c>
      <c r="D945" s="276" t="s">
        <v>2139</v>
      </c>
      <c r="E945" s="79" t="s">
        <v>546</v>
      </c>
      <c r="F945" s="80"/>
      <c r="G945" s="81"/>
      <c r="H945" s="82"/>
      <c r="I945" s="118">
        <v>46097</v>
      </c>
      <c r="J945" s="73">
        <v>3</v>
      </c>
      <c r="K945" s="122" t="s">
        <v>2140</v>
      </c>
      <c r="L945" s="120">
        <f t="shared" si="30"/>
        <v>46189</v>
      </c>
      <c r="M945" s="121">
        <f ca="1" t="shared" si="31"/>
        <v>86</v>
      </c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>
        <v>942</v>
      </c>
      <c r="B946" s="73" t="s">
        <v>856</v>
      </c>
      <c r="C946" s="73" t="s">
        <v>228</v>
      </c>
      <c r="D946" s="276" t="s">
        <v>2141</v>
      </c>
      <c r="E946" s="79" t="s">
        <v>546</v>
      </c>
      <c r="F946" s="80"/>
      <c r="G946" s="81"/>
      <c r="H946" s="82"/>
      <c r="I946" s="118">
        <v>46097</v>
      </c>
      <c r="J946" s="73">
        <v>3</v>
      </c>
      <c r="K946" s="122" t="s">
        <v>2142</v>
      </c>
      <c r="L946" s="120">
        <f t="shared" si="30"/>
        <v>46189</v>
      </c>
      <c r="M946" s="121">
        <f ca="1" t="shared" si="31"/>
        <v>86</v>
      </c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>
        <v>943</v>
      </c>
      <c r="B947" s="73" t="s">
        <v>856</v>
      </c>
      <c r="C947" s="73" t="s">
        <v>228</v>
      </c>
      <c r="D947" s="276" t="s">
        <v>2143</v>
      </c>
      <c r="E947" s="79" t="s">
        <v>546</v>
      </c>
      <c r="F947" s="80"/>
      <c r="G947" s="81"/>
      <c r="H947" s="82"/>
      <c r="I947" s="118">
        <v>46097</v>
      </c>
      <c r="J947" s="73">
        <v>3</v>
      </c>
      <c r="K947" s="122" t="s">
        <v>2144</v>
      </c>
      <c r="L947" s="120">
        <f t="shared" si="30"/>
        <v>46189</v>
      </c>
      <c r="M947" s="121">
        <f ca="1" t="shared" si="31"/>
        <v>86</v>
      </c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>
        <v>944</v>
      </c>
      <c r="B948" s="73" t="s">
        <v>856</v>
      </c>
      <c r="C948" s="73" t="s">
        <v>228</v>
      </c>
      <c r="D948" s="276" t="s">
        <v>2145</v>
      </c>
      <c r="E948" s="79" t="s">
        <v>546</v>
      </c>
      <c r="F948" s="80"/>
      <c r="G948" s="81"/>
      <c r="H948" s="82"/>
      <c r="I948" s="118">
        <v>46097</v>
      </c>
      <c r="J948" s="73">
        <v>3</v>
      </c>
      <c r="K948" s="122" t="s">
        <v>2146</v>
      </c>
      <c r="L948" s="120">
        <f t="shared" si="30"/>
        <v>46189</v>
      </c>
      <c r="M948" s="121">
        <f ca="1" t="shared" si="31"/>
        <v>86</v>
      </c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>
        <v>945</v>
      </c>
      <c r="B949" s="73" t="s">
        <v>856</v>
      </c>
      <c r="C949" s="73" t="s">
        <v>228</v>
      </c>
      <c r="D949" s="276" t="s">
        <v>2147</v>
      </c>
      <c r="E949" s="79" t="s">
        <v>546</v>
      </c>
      <c r="F949" s="80"/>
      <c r="G949" s="81"/>
      <c r="H949" s="82"/>
      <c r="I949" s="118">
        <v>46097</v>
      </c>
      <c r="J949" s="73">
        <v>3</v>
      </c>
      <c r="K949" s="122" t="s">
        <v>2148</v>
      </c>
      <c r="L949" s="120">
        <f t="shared" si="30"/>
        <v>46189</v>
      </c>
      <c r="M949" s="121">
        <f ca="1" t="shared" si="31"/>
        <v>86</v>
      </c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>
        <v>946</v>
      </c>
      <c r="B950" s="73" t="s">
        <v>856</v>
      </c>
      <c r="C950" s="73" t="s">
        <v>228</v>
      </c>
      <c r="D950" s="276" t="s">
        <v>2149</v>
      </c>
      <c r="E950" s="79" t="s">
        <v>546</v>
      </c>
      <c r="F950" s="80"/>
      <c r="G950" s="81"/>
      <c r="H950" s="82"/>
      <c r="I950" s="118">
        <v>46097</v>
      </c>
      <c r="J950" s="73">
        <v>3</v>
      </c>
      <c r="K950" s="122" t="s">
        <v>2150</v>
      </c>
      <c r="L950" s="120">
        <f t="shared" si="30"/>
        <v>46189</v>
      </c>
      <c r="M950" s="121">
        <f ca="1" t="shared" si="31"/>
        <v>86</v>
      </c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>
        <v>947</v>
      </c>
      <c r="B951" s="73" t="s">
        <v>856</v>
      </c>
      <c r="C951" s="73" t="s">
        <v>228</v>
      </c>
      <c r="D951" s="276" t="s">
        <v>2151</v>
      </c>
      <c r="E951" s="79" t="s">
        <v>546</v>
      </c>
      <c r="F951" s="80"/>
      <c r="G951" s="81"/>
      <c r="H951" s="82"/>
      <c r="I951" s="118">
        <v>46097</v>
      </c>
      <c r="J951" s="73">
        <v>3</v>
      </c>
      <c r="K951" s="122" t="s">
        <v>2152</v>
      </c>
      <c r="L951" s="120">
        <f t="shared" si="30"/>
        <v>46189</v>
      </c>
      <c r="M951" s="121">
        <f ca="1" t="shared" si="31"/>
        <v>86</v>
      </c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>
        <v>948</v>
      </c>
      <c r="B952" s="73" t="s">
        <v>856</v>
      </c>
      <c r="C952" s="73" t="s">
        <v>228</v>
      </c>
      <c r="D952" s="276" t="s">
        <v>2153</v>
      </c>
      <c r="E952" s="79" t="s">
        <v>546</v>
      </c>
      <c r="F952" s="80"/>
      <c r="G952" s="81"/>
      <c r="H952" s="82"/>
      <c r="I952" s="118">
        <v>46097</v>
      </c>
      <c r="J952" s="73">
        <v>3</v>
      </c>
      <c r="K952" s="122" t="s">
        <v>2154</v>
      </c>
      <c r="L952" s="120">
        <f t="shared" si="30"/>
        <v>46189</v>
      </c>
      <c r="M952" s="121">
        <f ca="1" t="shared" si="31"/>
        <v>86</v>
      </c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>
        <v>949</v>
      </c>
      <c r="B953" s="73" t="s">
        <v>856</v>
      </c>
      <c r="C953" s="73" t="s">
        <v>228</v>
      </c>
      <c r="D953" s="276" t="s">
        <v>2155</v>
      </c>
      <c r="E953" s="79" t="s">
        <v>546</v>
      </c>
      <c r="F953" s="80"/>
      <c r="G953" s="81"/>
      <c r="H953" s="82"/>
      <c r="I953" s="118">
        <v>46097</v>
      </c>
      <c r="J953" s="73">
        <v>3</v>
      </c>
      <c r="K953" s="122" t="s">
        <v>2156</v>
      </c>
      <c r="L953" s="120">
        <f t="shared" si="30"/>
        <v>46189</v>
      </c>
      <c r="M953" s="121">
        <f ca="1" t="shared" si="31"/>
        <v>86</v>
      </c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>
        <v>950</v>
      </c>
      <c r="B954" s="73" t="s">
        <v>856</v>
      </c>
      <c r="C954" s="73" t="s">
        <v>228</v>
      </c>
      <c r="D954" s="276" t="s">
        <v>2157</v>
      </c>
      <c r="E954" s="79" t="s">
        <v>546</v>
      </c>
      <c r="F954" s="80"/>
      <c r="G954" s="81"/>
      <c r="H954" s="82"/>
      <c r="I954" s="118">
        <v>46097</v>
      </c>
      <c r="J954" s="73">
        <v>3</v>
      </c>
      <c r="K954" s="122" t="s">
        <v>2158</v>
      </c>
      <c r="L954" s="120">
        <f t="shared" si="30"/>
        <v>46189</v>
      </c>
      <c r="M954" s="121">
        <f ca="1" t="shared" si="31"/>
        <v>86</v>
      </c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>
        <v>951</v>
      </c>
      <c r="B955" s="73" t="s">
        <v>856</v>
      </c>
      <c r="C955" s="73" t="s">
        <v>228</v>
      </c>
      <c r="D955" s="276" t="s">
        <v>2159</v>
      </c>
      <c r="E955" s="79" t="s">
        <v>546</v>
      </c>
      <c r="F955" s="80"/>
      <c r="G955" s="81"/>
      <c r="H955" s="82"/>
      <c r="I955" s="118">
        <v>46097</v>
      </c>
      <c r="J955" s="73">
        <v>3</v>
      </c>
      <c r="K955" s="122" t="s">
        <v>2160</v>
      </c>
      <c r="L955" s="120">
        <f t="shared" si="30"/>
        <v>46189</v>
      </c>
      <c r="M955" s="121">
        <f ca="1" t="shared" si="31"/>
        <v>86</v>
      </c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ht="22" customHeight="1" spans="1:52">
      <c r="A956" s="73">
        <v>952</v>
      </c>
      <c r="B956" s="73" t="s">
        <v>856</v>
      </c>
      <c r="C956" s="73" t="s">
        <v>228</v>
      </c>
      <c r="D956" s="276" t="s">
        <v>2161</v>
      </c>
      <c r="E956" s="79" t="s">
        <v>546</v>
      </c>
      <c r="F956" s="80"/>
      <c r="G956" s="81"/>
      <c r="H956" s="82"/>
      <c r="I956" s="118">
        <v>46097</v>
      </c>
      <c r="J956" s="73">
        <v>3</v>
      </c>
      <c r="K956" s="122" t="s">
        <v>2162</v>
      </c>
      <c r="L956" s="120">
        <f t="shared" si="30"/>
        <v>46189</v>
      </c>
      <c r="M956" s="121">
        <f ca="1" t="shared" si="31"/>
        <v>86</v>
      </c>
      <c r="N956" s="73"/>
      <c r="O956" s="73"/>
      <c r="P956" s="73"/>
      <c r="Q956" s="74"/>
      <c r="R956" s="79"/>
      <c r="S956" s="80"/>
      <c r="T956" s="81"/>
      <c r="U956" s="130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>
        <v>953</v>
      </c>
      <c r="B957" s="73" t="s">
        <v>856</v>
      </c>
      <c r="C957" s="73" t="s">
        <v>228</v>
      </c>
      <c r="D957" s="276" t="s">
        <v>2163</v>
      </c>
      <c r="E957" s="79" t="s">
        <v>546</v>
      </c>
      <c r="F957" s="80"/>
      <c r="G957" s="81"/>
      <c r="H957" s="82"/>
      <c r="I957" s="118">
        <v>46097</v>
      </c>
      <c r="J957" s="73">
        <v>3</v>
      </c>
      <c r="K957" s="122" t="s">
        <v>2164</v>
      </c>
      <c r="L957" s="120">
        <f t="shared" si="30"/>
        <v>46189</v>
      </c>
      <c r="M957" s="121">
        <f ca="1" t="shared" si="31"/>
        <v>86</v>
      </c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>
        <v>954</v>
      </c>
      <c r="B958" s="73" t="s">
        <v>856</v>
      </c>
      <c r="C958" s="73" t="s">
        <v>228</v>
      </c>
      <c r="D958" s="276" t="s">
        <v>2165</v>
      </c>
      <c r="E958" s="79" t="s">
        <v>546</v>
      </c>
      <c r="F958" s="80"/>
      <c r="G958" s="81"/>
      <c r="H958" s="82"/>
      <c r="I958" s="118">
        <v>46097</v>
      </c>
      <c r="J958" s="73">
        <v>3</v>
      </c>
      <c r="K958" s="122" t="s">
        <v>2166</v>
      </c>
      <c r="L958" s="120">
        <f t="shared" si="30"/>
        <v>46189</v>
      </c>
      <c r="M958" s="121">
        <f ca="1" t="shared" si="31"/>
        <v>86</v>
      </c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>
        <v>955</v>
      </c>
      <c r="B959" s="73" t="s">
        <v>856</v>
      </c>
      <c r="C959" s="73" t="s">
        <v>228</v>
      </c>
      <c r="D959" s="276" t="s">
        <v>2167</v>
      </c>
      <c r="E959" s="79" t="s">
        <v>546</v>
      </c>
      <c r="F959" s="80"/>
      <c r="G959" s="81"/>
      <c r="H959" s="82"/>
      <c r="I959" s="118">
        <v>46097</v>
      </c>
      <c r="J959" s="73">
        <v>3</v>
      </c>
      <c r="K959" s="122" t="s">
        <v>2168</v>
      </c>
      <c r="L959" s="120">
        <f t="shared" si="30"/>
        <v>46189</v>
      </c>
      <c r="M959" s="121">
        <f ca="1" t="shared" si="31"/>
        <v>86</v>
      </c>
      <c r="N959" s="73"/>
      <c r="O959" s="73"/>
      <c r="P959" s="73"/>
      <c r="Q959" s="74"/>
      <c r="R959" s="79"/>
      <c r="S959" s="80"/>
      <c r="T959" s="81"/>
      <c r="U959" s="89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>
        <v>956</v>
      </c>
      <c r="B960" s="73" t="s">
        <v>856</v>
      </c>
      <c r="C960" s="73" t="s">
        <v>228</v>
      </c>
      <c r="D960" s="276" t="s">
        <v>2169</v>
      </c>
      <c r="E960" s="79" t="s">
        <v>546</v>
      </c>
      <c r="F960" s="80"/>
      <c r="G960" s="81"/>
      <c r="H960" s="82"/>
      <c r="I960" s="118">
        <v>46097</v>
      </c>
      <c r="J960" s="73">
        <v>3</v>
      </c>
      <c r="K960" s="122" t="s">
        <v>2170</v>
      </c>
      <c r="L960" s="120">
        <f t="shared" si="30"/>
        <v>46189</v>
      </c>
      <c r="M960" s="121">
        <f ca="1" t="shared" si="31"/>
        <v>86</v>
      </c>
      <c r="N960" s="73"/>
      <c r="O960" s="73"/>
      <c r="P960" s="73"/>
      <c r="Q960" s="74"/>
      <c r="R960" s="79"/>
      <c r="S960" s="80"/>
      <c r="T960" s="81"/>
      <c r="U960" s="89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>
        <v>957</v>
      </c>
      <c r="B961" s="73" t="s">
        <v>856</v>
      </c>
      <c r="C961" s="73" t="s">
        <v>228</v>
      </c>
      <c r="D961" s="276" t="s">
        <v>2171</v>
      </c>
      <c r="E961" s="79" t="s">
        <v>546</v>
      </c>
      <c r="F961" s="80"/>
      <c r="G961" s="81"/>
      <c r="H961" s="82"/>
      <c r="I961" s="118">
        <v>46097</v>
      </c>
      <c r="J961" s="73">
        <v>3</v>
      </c>
      <c r="K961" s="122" t="s">
        <v>2172</v>
      </c>
      <c r="L961" s="120">
        <f t="shared" si="30"/>
        <v>46189</v>
      </c>
      <c r="M961" s="121">
        <f ca="1" t="shared" si="31"/>
        <v>86</v>
      </c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>
        <v>958</v>
      </c>
      <c r="B962" s="73" t="s">
        <v>856</v>
      </c>
      <c r="C962" s="73" t="s">
        <v>228</v>
      </c>
      <c r="D962" s="276" t="s">
        <v>2173</v>
      </c>
      <c r="E962" s="79" t="s">
        <v>546</v>
      </c>
      <c r="F962" s="80"/>
      <c r="G962" s="81"/>
      <c r="H962" s="82"/>
      <c r="I962" s="118">
        <v>46097</v>
      </c>
      <c r="J962" s="73">
        <v>3</v>
      </c>
      <c r="K962" s="122" t="s">
        <v>2174</v>
      </c>
      <c r="L962" s="120">
        <f t="shared" si="30"/>
        <v>46189</v>
      </c>
      <c r="M962" s="121">
        <f ca="1" t="shared" si="31"/>
        <v>86</v>
      </c>
      <c r="N962" s="73"/>
      <c r="O962" s="73"/>
      <c r="P962" s="73"/>
      <c r="Q962" s="74"/>
      <c r="R962" s="79"/>
      <c r="S962" s="80"/>
      <c r="T962" s="81"/>
      <c r="U962" s="130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130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>
        <v>959</v>
      </c>
      <c r="B963" s="73" t="s">
        <v>856</v>
      </c>
      <c r="C963" s="73" t="s">
        <v>228</v>
      </c>
      <c r="D963" s="276" t="s">
        <v>2175</v>
      </c>
      <c r="E963" s="79" t="s">
        <v>546</v>
      </c>
      <c r="F963" s="80"/>
      <c r="G963" s="81"/>
      <c r="H963" s="82"/>
      <c r="I963" s="118">
        <v>46097</v>
      </c>
      <c r="J963" s="73">
        <v>3</v>
      </c>
      <c r="K963" s="122" t="s">
        <v>2176</v>
      </c>
      <c r="L963" s="120">
        <f t="shared" si="30"/>
        <v>46189</v>
      </c>
      <c r="M963" s="121">
        <f ca="1" t="shared" si="31"/>
        <v>86</v>
      </c>
      <c r="N963" s="73"/>
      <c r="O963" s="73"/>
      <c r="P963" s="73"/>
      <c r="Q963" s="74"/>
      <c r="R963" s="79"/>
      <c r="S963" s="80"/>
      <c r="T963" s="81"/>
      <c r="U963" s="78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>
        <v>960</v>
      </c>
      <c r="B964" s="73" t="s">
        <v>856</v>
      </c>
      <c r="C964" s="73" t="s">
        <v>228</v>
      </c>
      <c r="D964" s="276" t="s">
        <v>2177</v>
      </c>
      <c r="E964" s="79" t="s">
        <v>546</v>
      </c>
      <c r="F964" s="80"/>
      <c r="G964" s="81"/>
      <c r="H964" s="82"/>
      <c r="I964" s="118">
        <v>46097</v>
      </c>
      <c r="J964" s="73">
        <v>3</v>
      </c>
      <c r="K964" s="122" t="s">
        <v>2178</v>
      </c>
      <c r="L964" s="120">
        <f t="shared" ref="L964:L1027" si="32">EDATE(I964,J964)</f>
        <v>46189</v>
      </c>
      <c r="M964" s="121">
        <f ca="1" t="shared" ref="M964:M1027" si="33">L964-TODAY()</f>
        <v>86</v>
      </c>
      <c r="N964" s="73"/>
      <c r="O964" s="73"/>
      <c r="P964" s="73"/>
      <c r="Q964" s="74"/>
      <c r="R964" s="79"/>
      <c r="S964" s="80"/>
      <c r="T964" s="81"/>
      <c r="U964" s="78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>
        <v>961</v>
      </c>
      <c r="B965" s="73" t="s">
        <v>856</v>
      </c>
      <c r="C965" s="73" t="s">
        <v>228</v>
      </c>
      <c r="D965" s="74" t="s">
        <v>2179</v>
      </c>
      <c r="E965" s="79" t="s">
        <v>546</v>
      </c>
      <c r="F965" s="80"/>
      <c r="G965" s="81"/>
      <c r="H965" s="82"/>
      <c r="I965" s="118">
        <v>46097</v>
      </c>
      <c r="J965" s="73">
        <v>3</v>
      </c>
      <c r="K965" s="122" t="s">
        <v>2180</v>
      </c>
      <c r="L965" s="120">
        <f t="shared" si="32"/>
        <v>46189</v>
      </c>
      <c r="M965" s="121">
        <f ca="1" t="shared" si="33"/>
        <v>86</v>
      </c>
      <c r="N965" s="73"/>
      <c r="O965" s="73"/>
      <c r="P965" s="73"/>
      <c r="Q965" s="74"/>
      <c r="R965" s="79"/>
      <c r="S965" s="80"/>
      <c r="T965" s="81"/>
      <c r="U965" s="78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>
        <v>962</v>
      </c>
      <c r="B966" s="73" t="s">
        <v>856</v>
      </c>
      <c r="C966" s="73" t="s">
        <v>228</v>
      </c>
      <c r="D966" s="74" t="s">
        <v>2181</v>
      </c>
      <c r="E966" s="79" t="s">
        <v>546</v>
      </c>
      <c r="F966" s="80"/>
      <c r="G966" s="81"/>
      <c r="H966" s="82"/>
      <c r="I966" s="118">
        <v>46097</v>
      </c>
      <c r="J966" s="73">
        <v>3</v>
      </c>
      <c r="K966" s="122" t="s">
        <v>2182</v>
      </c>
      <c r="L966" s="120">
        <f t="shared" si="32"/>
        <v>46189</v>
      </c>
      <c r="M966" s="121">
        <f ca="1" t="shared" si="33"/>
        <v>86</v>
      </c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>
        <v>963</v>
      </c>
      <c r="B967" s="73" t="s">
        <v>856</v>
      </c>
      <c r="C967" s="73" t="s">
        <v>228</v>
      </c>
      <c r="D967" s="74" t="s">
        <v>2183</v>
      </c>
      <c r="E967" s="79" t="s">
        <v>546</v>
      </c>
      <c r="F967" s="80"/>
      <c r="G967" s="81"/>
      <c r="H967" s="82"/>
      <c r="I967" s="118">
        <v>46097</v>
      </c>
      <c r="J967" s="73">
        <v>3</v>
      </c>
      <c r="K967" s="122" t="s">
        <v>2184</v>
      </c>
      <c r="L967" s="120">
        <f t="shared" si="32"/>
        <v>46189</v>
      </c>
      <c r="M967" s="121">
        <f ca="1" t="shared" si="33"/>
        <v>86</v>
      </c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>
        <v>964</v>
      </c>
      <c r="B968" s="73" t="s">
        <v>1581</v>
      </c>
      <c r="C968" s="73" t="s">
        <v>13</v>
      </c>
      <c r="D968" s="74" t="s">
        <v>2185</v>
      </c>
      <c r="E968" s="79" t="s">
        <v>1754</v>
      </c>
      <c r="F968" s="80"/>
      <c r="G968" s="81"/>
      <c r="H968" s="82"/>
      <c r="I968" s="118">
        <v>46098</v>
      </c>
      <c r="J968" s="73">
        <v>3</v>
      </c>
      <c r="K968" s="122"/>
      <c r="L968" s="120">
        <f t="shared" si="32"/>
        <v>46190</v>
      </c>
      <c r="M968" s="121">
        <f ca="1" t="shared" si="33"/>
        <v>87</v>
      </c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130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ht="21" customHeight="1" spans="1:52">
      <c r="A969" s="73">
        <v>965</v>
      </c>
      <c r="B969" s="73" t="s">
        <v>780</v>
      </c>
      <c r="C969" s="73" t="s">
        <v>13</v>
      </c>
      <c r="D969" s="74" t="s">
        <v>2054</v>
      </c>
      <c r="E969" s="79" t="s">
        <v>1754</v>
      </c>
      <c r="F969" s="80"/>
      <c r="G969" s="81"/>
      <c r="H969" s="89" t="s">
        <v>16</v>
      </c>
      <c r="I969" s="118">
        <v>46098</v>
      </c>
      <c r="J969" s="73">
        <v>3</v>
      </c>
      <c r="K969" s="122"/>
      <c r="L969" s="120">
        <f t="shared" si="32"/>
        <v>46190</v>
      </c>
      <c r="M969" s="121">
        <f ca="1" t="shared" si="33"/>
        <v>87</v>
      </c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>
        <v>966</v>
      </c>
      <c r="B970" s="73" t="s">
        <v>1246</v>
      </c>
      <c r="C970" s="73" t="s">
        <v>158</v>
      </c>
      <c r="D970" s="74" t="s">
        <v>1247</v>
      </c>
      <c r="E970" s="79" t="s">
        <v>2186</v>
      </c>
      <c r="F970" s="80"/>
      <c r="G970" s="81"/>
      <c r="H970" s="82"/>
      <c r="I970" s="118">
        <v>46098</v>
      </c>
      <c r="J970" s="73" t="s">
        <v>473</v>
      </c>
      <c r="K970" s="122"/>
      <c r="L970" s="120" t="e">
        <f t="shared" si="32"/>
        <v>#VALUE!</v>
      </c>
      <c r="M970" s="121" t="e">
        <f ca="1" t="shared" si="33"/>
        <v>#VALUE!</v>
      </c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>
        <v>967</v>
      </c>
      <c r="B971" s="73" t="s">
        <v>169</v>
      </c>
      <c r="C971" s="73" t="s">
        <v>158</v>
      </c>
      <c r="D971" s="74" t="s">
        <v>2187</v>
      </c>
      <c r="E971" s="79" t="s">
        <v>221</v>
      </c>
      <c r="F971" s="80"/>
      <c r="G971" s="81"/>
      <c r="H971" s="82"/>
      <c r="I971" s="118">
        <v>46098</v>
      </c>
      <c r="J971" s="73">
        <v>3</v>
      </c>
      <c r="K971" s="122"/>
      <c r="L971" s="120">
        <f t="shared" si="32"/>
        <v>46190</v>
      </c>
      <c r="M971" s="121">
        <f ca="1" t="shared" si="33"/>
        <v>87</v>
      </c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>
        <v>968</v>
      </c>
      <c r="B972" s="73" t="s">
        <v>169</v>
      </c>
      <c r="C972" s="73" t="s">
        <v>158</v>
      </c>
      <c r="D972" s="74" t="s">
        <v>2188</v>
      </c>
      <c r="E972" s="79" t="s">
        <v>221</v>
      </c>
      <c r="F972" s="80"/>
      <c r="G972" s="81"/>
      <c r="H972" s="82"/>
      <c r="I972" s="118">
        <v>46098</v>
      </c>
      <c r="J972" s="73">
        <v>3</v>
      </c>
      <c r="K972" s="122"/>
      <c r="L972" s="120">
        <f t="shared" si="32"/>
        <v>46190</v>
      </c>
      <c r="M972" s="121">
        <f ca="1" t="shared" si="33"/>
        <v>87</v>
      </c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>
        <v>969</v>
      </c>
      <c r="B973" s="73" t="s">
        <v>2189</v>
      </c>
      <c r="C973" s="73" t="s">
        <v>27</v>
      </c>
      <c r="D973" s="74" t="s">
        <v>2190</v>
      </c>
      <c r="E973" s="79" t="s">
        <v>2191</v>
      </c>
      <c r="F973" s="80"/>
      <c r="G973" s="81"/>
      <c r="H973" s="82"/>
      <c r="I973" s="118">
        <v>46098</v>
      </c>
      <c r="J973" s="73">
        <v>3</v>
      </c>
      <c r="K973" s="122"/>
      <c r="L973" s="120">
        <f t="shared" si="32"/>
        <v>46190</v>
      </c>
      <c r="M973" s="121">
        <f ca="1" t="shared" si="33"/>
        <v>87</v>
      </c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>
        <v>970</v>
      </c>
      <c r="B974" s="73" t="s">
        <v>397</v>
      </c>
      <c r="C974" s="73" t="s">
        <v>13</v>
      </c>
      <c r="D974" s="74" t="s">
        <v>2192</v>
      </c>
      <c r="E974" s="79" t="s">
        <v>2193</v>
      </c>
      <c r="F974" s="80"/>
      <c r="G974" s="81"/>
      <c r="H974" s="89" t="s">
        <v>16</v>
      </c>
      <c r="I974" s="118">
        <v>46098</v>
      </c>
      <c r="J974" s="73">
        <v>3</v>
      </c>
      <c r="K974" s="122"/>
      <c r="L974" s="120">
        <f t="shared" si="32"/>
        <v>46190</v>
      </c>
      <c r="M974" s="121">
        <f ca="1" t="shared" si="33"/>
        <v>87</v>
      </c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>
        <v>971</v>
      </c>
      <c r="B975" s="73" t="s">
        <v>324</v>
      </c>
      <c r="C975" s="73" t="s">
        <v>13</v>
      </c>
      <c r="D975" s="74" t="s">
        <v>2194</v>
      </c>
      <c r="E975" s="79" t="s">
        <v>2195</v>
      </c>
      <c r="F975" s="80"/>
      <c r="G975" s="81"/>
      <c r="H975" s="89" t="s">
        <v>16</v>
      </c>
      <c r="I975" s="118">
        <v>46098</v>
      </c>
      <c r="J975" s="73">
        <v>3</v>
      </c>
      <c r="K975" s="122"/>
      <c r="L975" s="120">
        <f t="shared" si="32"/>
        <v>46190</v>
      </c>
      <c r="M975" s="121">
        <f ca="1" t="shared" si="33"/>
        <v>87</v>
      </c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>
        <v>972</v>
      </c>
      <c r="B976" s="73" t="s">
        <v>1066</v>
      </c>
      <c r="C976" s="73" t="s">
        <v>228</v>
      </c>
      <c r="D976" s="74" t="s">
        <v>2196</v>
      </c>
      <c r="E976" s="79" t="s">
        <v>2197</v>
      </c>
      <c r="F976" s="80"/>
      <c r="G976" s="81"/>
      <c r="H976" s="82"/>
      <c r="I976" s="118">
        <v>46098</v>
      </c>
      <c r="J976" s="73">
        <v>3</v>
      </c>
      <c r="K976" s="122"/>
      <c r="L976" s="120">
        <f t="shared" si="32"/>
        <v>46190</v>
      </c>
      <c r="M976" s="121">
        <f ca="1" t="shared" si="33"/>
        <v>87</v>
      </c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>
        <v>973</v>
      </c>
      <c r="B977" s="73" t="s">
        <v>1066</v>
      </c>
      <c r="C977" s="73" t="s">
        <v>228</v>
      </c>
      <c r="D977" s="74" t="s">
        <v>2198</v>
      </c>
      <c r="E977" s="79" t="s">
        <v>2199</v>
      </c>
      <c r="F977" s="80"/>
      <c r="G977" s="81"/>
      <c r="H977" s="89" t="s">
        <v>16</v>
      </c>
      <c r="I977" s="118">
        <v>46098</v>
      </c>
      <c r="J977" s="73">
        <v>3</v>
      </c>
      <c r="K977" s="122"/>
      <c r="L977" s="120">
        <f t="shared" si="32"/>
        <v>46190</v>
      </c>
      <c r="M977" s="121">
        <f ca="1" t="shared" si="33"/>
        <v>87</v>
      </c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ht="20" customHeight="1" spans="1:52">
      <c r="A978" s="73">
        <v>974</v>
      </c>
      <c r="B978" s="73" t="s">
        <v>1066</v>
      </c>
      <c r="C978" s="73" t="s">
        <v>228</v>
      </c>
      <c r="D978" s="74" t="s">
        <v>2200</v>
      </c>
      <c r="E978" s="79" t="s">
        <v>2201</v>
      </c>
      <c r="F978" s="80"/>
      <c r="G978" s="81"/>
      <c r="H978" s="89" t="s">
        <v>16</v>
      </c>
      <c r="I978" s="118">
        <v>46098</v>
      </c>
      <c r="J978" s="73">
        <v>3</v>
      </c>
      <c r="K978" s="122"/>
      <c r="L978" s="120">
        <f t="shared" si="32"/>
        <v>46190</v>
      </c>
      <c r="M978" s="121">
        <f ca="1" t="shared" si="33"/>
        <v>87</v>
      </c>
      <c r="N978" s="73"/>
      <c r="O978" s="73"/>
      <c r="P978" s="73"/>
      <c r="Q978" s="74"/>
      <c r="R978" s="79"/>
      <c r="S978" s="80"/>
      <c r="T978" s="81"/>
      <c r="U978" s="130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130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>
        <v>975</v>
      </c>
      <c r="B979" s="73" t="s">
        <v>1066</v>
      </c>
      <c r="C979" s="73" t="s">
        <v>228</v>
      </c>
      <c r="D979" s="74" t="s">
        <v>2202</v>
      </c>
      <c r="E979" s="79" t="s">
        <v>2203</v>
      </c>
      <c r="F979" s="80"/>
      <c r="G979" s="81"/>
      <c r="H979" s="89" t="s">
        <v>16</v>
      </c>
      <c r="I979" s="118">
        <v>46098</v>
      </c>
      <c r="J979" s="73">
        <v>3</v>
      </c>
      <c r="K979" s="122"/>
      <c r="L979" s="120">
        <f t="shared" si="32"/>
        <v>46190</v>
      </c>
      <c r="M979" s="121">
        <f ca="1" t="shared" si="33"/>
        <v>87</v>
      </c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>
        <v>976</v>
      </c>
      <c r="B980" s="73" t="s">
        <v>864</v>
      </c>
      <c r="C980" s="73" t="s">
        <v>228</v>
      </c>
      <c r="D980" s="74" t="s">
        <v>2204</v>
      </c>
      <c r="E980" s="79" t="s">
        <v>334</v>
      </c>
      <c r="F980" s="80"/>
      <c r="G980" s="81"/>
      <c r="H980" s="89" t="s">
        <v>16</v>
      </c>
      <c r="I980" s="118">
        <v>46098</v>
      </c>
      <c r="J980" s="73">
        <v>3</v>
      </c>
      <c r="K980" s="122"/>
      <c r="L980" s="120">
        <f t="shared" si="32"/>
        <v>46190</v>
      </c>
      <c r="M980" s="121">
        <f ca="1" t="shared" si="33"/>
        <v>87</v>
      </c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>
        <v>977</v>
      </c>
      <c r="B981" s="73" t="s">
        <v>338</v>
      </c>
      <c r="C981" s="73" t="s">
        <v>228</v>
      </c>
      <c r="D981" s="74" t="s">
        <v>2205</v>
      </c>
      <c r="E981" s="79" t="s">
        <v>406</v>
      </c>
      <c r="F981" s="80"/>
      <c r="G981" s="81"/>
      <c r="H981" s="89" t="s">
        <v>16</v>
      </c>
      <c r="I981" s="118">
        <v>46098</v>
      </c>
      <c r="J981" s="73">
        <v>3</v>
      </c>
      <c r="K981" s="122"/>
      <c r="L981" s="120">
        <f t="shared" si="32"/>
        <v>46190</v>
      </c>
      <c r="M981" s="121">
        <f ca="1" t="shared" si="33"/>
        <v>87</v>
      </c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>
        <v>978</v>
      </c>
      <c r="B982" s="73" t="s">
        <v>338</v>
      </c>
      <c r="C982" s="73" t="s">
        <v>228</v>
      </c>
      <c r="D982" s="74" t="s">
        <v>2206</v>
      </c>
      <c r="E982" s="79" t="s">
        <v>409</v>
      </c>
      <c r="F982" s="80"/>
      <c r="G982" s="81"/>
      <c r="H982" s="89" t="s">
        <v>16</v>
      </c>
      <c r="I982" s="118">
        <v>46098</v>
      </c>
      <c r="J982" s="73">
        <v>3</v>
      </c>
      <c r="K982" s="122"/>
      <c r="L982" s="120">
        <f t="shared" si="32"/>
        <v>46190</v>
      </c>
      <c r="M982" s="121">
        <f ca="1" t="shared" si="33"/>
        <v>87</v>
      </c>
      <c r="N982" s="73"/>
      <c r="O982" s="73"/>
      <c r="P982" s="73"/>
      <c r="Q982" s="74"/>
      <c r="R982" s="280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>
        <v>979</v>
      </c>
      <c r="B983" s="73" t="s">
        <v>856</v>
      </c>
      <c r="C983" s="73" t="s">
        <v>228</v>
      </c>
      <c r="D983" s="74" t="s">
        <v>2207</v>
      </c>
      <c r="E983" s="79" t="s">
        <v>546</v>
      </c>
      <c r="F983" s="80"/>
      <c r="G983" s="81"/>
      <c r="H983" s="204"/>
      <c r="I983" s="118">
        <v>46098</v>
      </c>
      <c r="J983" s="73">
        <v>3</v>
      </c>
      <c r="K983" s="122"/>
      <c r="L983" s="120">
        <f t="shared" si="32"/>
        <v>46190</v>
      </c>
      <c r="M983" s="121">
        <f ca="1" t="shared" si="33"/>
        <v>87</v>
      </c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>
        <v>980</v>
      </c>
      <c r="B984" s="73" t="s">
        <v>856</v>
      </c>
      <c r="C984" s="73" t="s">
        <v>228</v>
      </c>
      <c r="D984" s="277" t="s">
        <v>2208</v>
      </c>
      <c r="E984" s="79" t="s">
        <v>546</v>
      </c>
      <c r="F984" s="80"/>
      <c r="G984" s="81"/>
      <c r="H984" s="204"/>
      <c r="I984" s="118">
        <v>46098</v>
      </c>
      <c r="J984" s="73">
        <v>3</v>
      </c>
      <c r="K984" s="122"/>
      <c r="L984" s="120">
        <f t="shared" si="32"/>
        <v>46190</v>
      </c>
      <c r="M984" s="121">
        <f ca="1" t="shared" si="33"/>
        <v>87</v>
      </c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>
        <v>981</v>
      </c>
      <c r="B985" s="73" t="s">
        <v>856</v>
      </c>
      <c r="C985" s="73" t="s">
        <v>228</v>
      </c>
      <c r="D985" s="277" t="s">
        <v>2209</v>
      </c>
      <c r="E985" s="79" t="s">
        <v>546</v>
      </c>
      <c r="F985" s="80"/>
      <c r="G985" s="81"/>
      <c r="H985" s="204"/>
      <c r="I985" s="118">
        <v>46098</v>
      </c>
      <c r="J985" s="73">
        <v>3</v>
      </c>
      <c r="K985" s="122"/>
      <c r="L985" s="120">
        <f t="shared" si="32"/>
        <v>46190</v>
      </c>
      <c r="M985" s="121">
        <f ca="1" t="shared" si="33"/>
        <v>87</v>
      </c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>
        <v>982</v>
      </c>
      <c r="B986" s="73" t="s">
        <v>856</v>
      </c>
      <c r="C986" s="73" t="s">
        <v>228</v>
      </c>
      <c r="D986" s="277" t="s">
        <v>2210</v>
      </c>
      <c r="E986" s="79" t="s">
        <v>546</v>
      </c>
      <c r="F986" s="80"/>
      <c r="G986" s="81"/>
      <c r="H986" s="204"/>
      <c r="I986" s="118">
        <v>46098</v>
      </c>
      <c r="J986" s="73">
        <v>3</v>
      </c>
      <c r="K986" s="122"/>
      <c r="L986" s="120">
        <f t="shared" si="32"/>
        <v>46190</v>
      </c>
      <c r="M986" s="121">
        <f ca="1" t="shared" si="33"/>
        <v>87</v>
      </c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>
        <v>983</v>
      </c>
      <c r="B987" s="73" t="s">
        <v>140</v>
      </c>
      <c r="C987" s="73" t="s">
        <v>13</v>
      </c>
      <c r="D987" s="74" t="s">
        <v>2211</v>
      </c>
      <c r="E987" s="79" t="s">
        <v>78</v>
      </c>
      <c r="F987" s="80"/>
      <c r="G987" s="81"/>
      <c r="H987" s="130" t="s">
        <v>16</v>
      </c>
      <c r="I987" s="118">
        <v>46099</v>
      </c>
      <c r="J987" s="73">
        <v>3</v>
      </c>
      <c r="K987" s="122"/>
      <c r="L987" s="120">
        <f t="shared" si="32"/>
        <v>46191</v>
      </c>
      <c r="M987" s="121">
        <f ca="1" t="shared" si="33"/>
        <v>88</v>
      </c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>
        <v>984</v>
      </c>
      <c r="B988" s="73" t="s">
        <v>314</v>
      </c>
      <c r="C988" s="73" t="s">
        <v>13</v>
      </c>
      <c r="D988" s="74" t="s">
        <v>190</v>
      </c>
      <c r="E988" s="79" t="s">
        <v>47</v>
      </c>
      <c r="F988" s="80"/>
      <c r="G988" s="81"/>
      <c r="H988" s="130" t="s">
        <v>16</v>
      </c>
      <c r="I988" s="118">
        <v>46099</v>
      </c>
      <c r="J988" s="73">
        <v>3</v>
      </c>
      <c r="K988" s="122"/>
      <c r="L988" s="120">
        <f t="shared" si="32"/>
        <v>46191</v>
      </c>
      <c r="M988" s="121">
        <f ca="1" t="shared" si="33"/>
        <v>88</v>
      </c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>
        <v>985</v>
      </c>
      <c r="B989" s="73" t="s">
        <v>314</v>
      </c>
      <c r="C989" s="73" t="s">
        <v>27</v>
      </c>
      <c r="D989" s="74" t="s">
        <v>188</v>
      </c>
      <c r="E989" s="79" t="s">
        <v>35</v>
      </c>
      <c r="F989" s="80"/>
      <c r="G989" s="81"/>
      <c r="H989" s="130" t="s">
        <v>16</v>
      </c>
      <c r="I989" s="118">
        <v>46099</v>
      </c>
      <c r="J989" s="73">
        <v>3</v>
      </c>
      <c r="K989" s="122"/>
      <c r="L989" s="120">
        <f t="shared" si="32"/>
        <v>46191</v>
      </c>
      <c r="M989" s="121">
        <f ca="1" t="shared" si="33"/>
        <v>88</v>
      </c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>
        <v>986</v>
      </c>
      <c r="B990" s="73" t="s">
        <v>82</v>
      </c>
      <c r="C990" s="73" t="s">
        <v>13</v>
      </c>
      <c r="D990" s="74" t="s">
        <v>2212</v>
      </c>
      <c r="E990" s="79" t="s">
        <v>47</v>
      </c>
      <c r="F990" s="80"/>
      <c r="G990" s="81"/>
      <c r="H990" s="130" t="s">
        <v>16</v>
      </c>
      <c r="I990" s="118">
        <v>46099</v>
      </c>
      <c r="J990" s="73">
        <v>3</v>
      </c>
      <c r="K990" s="122"/>
      <c r="L990" s="120">
        <f t="shared" si="32"/>
        <v>46191</v>
      </c>
      <c r="M990" s="121">
        <f ca="1" t="shared" si="33"/>
        <v>88</v>
      </c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>
        <v>987</v>
      </c>
      <c r="B991" s="73" t="s">
        <v>2213</v>
      </c>
      <c r="C991" s="73" t="s">
        <v>27</v>
      </c>
      <c r="D991" s="74" t="s">
        <v>2214</v>
      </c>
      <c r="E991" s="79" t="s">
        <v>2215</v>
      </c>
      <c r="F991" s="80"/>
      <c r="G991" s="81"/>
      <c r="H991" s="130" t="s">
        <v>16</v>
      </c>
      <c r="I991" s="118">
        <v>46099</v>
      </c>
      <c r="J991" s="73">
        <v>3</v>
      </c>
      <c r="K991" s="122"/>
      <c r="L991" s="120">
        <f t="shared" si="32"/>
        <v>46191</v>
      </c>
      <c r="M991" s="121">
        <f ca="1" t="shared" si="33"/>
        <v>88</v>
      </c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>
        <v>988</v>
      </c>
      <c r="B992" s="73" t="s">
        <v>2213</v>
      </c>
      <c r="C992" s="73" t="s">
        <v>27</v>
      </c>
      <c r="D992" s="74" t="s">
        <v>2216</v>
      </c>
      <c r="E992" s="79" t="s">
        <v>2215</v>
      </c>
      <c r="F992" s="80"/>
      <c r="G992" s="81"/>
      <c r="H992" s="130" t="s">
        <v>16</v>
      </c>
      <c r="I992" s="118">
        <v>46099</v>
      </c>
      <c r="J992" s="73">
        <v>3</v>
      </c>
      <c r="K992" s="122"/>
      <c r="L992" s="120">
        <f t="shared" si="32"/>
        <v>46191</v>
      </c>
      <c r="M992" s="121">
        <f ca="1" t="shared" si="33"/>
        <v>88</v>
      </c>
      <c r="N992" s="73"/>
      <c r="O992" s="73"/>
      <c r="P992" s="73"/>
      <c r="Q992" s="74"/>
      <c r="R992" s="79"/>
      <c r="S992" s="80"/>
      <c r="T992" s="81"/>
      <c r="U992" s="130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>
        <v>989</v>
      </c>
      <c r="B993" s="73" t="s">
        <v>1712</v>
      </c>
      <c r="C993" s="73" t="s">
        <v>158</v>
      </c>
      <c r="D993" s="74" t="s">
        <v>2217</v>
      </c>
      <c r="E993" s="79" t="s">
        <v>158</v>
      </c>
      <c r="F993" s="80"/>
      <c r="G993" s="81"/>
      <c r="H993" s="82"/>
      <c r="I993" s="118">
        <v>46099</v>
      </c>
      <c r="J993" s="73">
        <v>3</v>
      </c>
      <c r="K993" s="122"/>
      <c r="L993" s="120">
        <f t="shared" si="32"/>
        <v>46191</v>
      </c>
      <c r="M993" s="121">
        <f ca="1" t="shared" si="33"/>
        <v>88</v>
      </c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>
        <v>990</v>
      </c>
      <c r="B994" s="73" t="s">
        <v>395</v>
      </c>
      <c r="C994" s="73" t="s">
        <v>158</v>
      </c>
      <c r="D994" s="74" t="s">
        <v>1165</v>
      </c>
      <c r="E994" s="79" t="s">
        <v>160</v>
      </c>
      <c r="F994" s="80"/>
      <c r="G994" s="81"/>
      <c r="H994" s="82"/>
      <c r="I994" s="118">
        <v>46099</v>
      </c>
      <c r="J994" s="73" t="s">
        <v>473</v>
      </c>
      <c r="K994" s="122"/>
      <c r="L994" s="120" t="e">
        <f t="shared" si="32"/>
        <v>#VALUE!</v>
      </c>
      <c r="M994" s="121" t="e">
        <f ca="1" t="shared" si="33"/>
        <v>#VALUE!</v>
      </c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>
        <v>991</v>
      </c>
      <c r="B995" s="73" t="s">
        <v>395</v>
      </c>
      <c r="C995" s="73" t="s">
        <v>158</v>
      </c>
      <c r="D995" s="74" t="s">
        <v>159</v>
      </c>
      <c r="E995" s="79" t="s">
        <v>160</v>
      </c>
      <c r="F995" s="80"/>
      <c r="G995" s="81"/>
      <c r="H995" s="82"/>
      <c r="I995" s="118">
        <v>46099</v>
      </c>
      <c r="J995" s="73" t="s">
        <v>473</v>
      </c>
      <c r="K995" s="122"/>
      <c r="L995" s="120" t="e">
        <f t="shared" si="32"/>
        <v>#VALUE!</v>
      </c>
      <c r="M995" s="121" t="e">
        <f ca="1" t="shared" si="33"/>
        <v>#VALUE!</v>
      </c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>
        <v>992</v>
      </c>
      <c r="B996" s="73" t="s">
        <v>756</v>
      </c>
      <c r="C996" s="73" t="s">
        <v>158</v>
      </c>
      <c r="D996" s="74" t="s">
        <v>757</v>
      </c>
      <c r="E996" s="79" t="s">
        <v>221</v>
      </c>
      <c r="F996" s="80"/>
      <c r="G996" s="81"/>
      <c r="H996" s="82"/>
      <c r="I996" s="118">
        <v>46099</v>
      </c>
      <c r="J996" s="73" t="s">
        <v>473</v>
      </c>
      <c r="K996" s="122"/>
      <c r="L996" s="120" t="e">
        <f t="shared" si="32"/>
        <v>#VALUE!</v>
      </c>
      <c r="M996" s="121" t="e">
        <f ca="1" t="shared" si="33"/>
        <v>#VALUE!</v>
      </c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>
        <v>993</v>
      </c>
      <c r="B997" s="73" t="s">
        <v>462</v>
      </c>
      <c r="C997" s="73" t="s">
        <v>13</v>
      </c>
      <c r="D997" s="74" t="s">
        <v>2218</v>
      </c>
      <c r="E997" s="79" t="s">
        <v>78</v>
      </c>
      <c r="F997" s="80"/>
      <c r="G997" s="81"/>
      <c r="H997" s="89" t="s">
        <v>16</v>
      </c>
      <c r="I997" s="118">
        <v>46100</v>
      </c>
      <c r="J997" s="73">
        <v>3</v>
      </c>
      <c r="K997" s="122"/>
      <c r="L997" s="120">
        <f t="shared" si="32"/>
        <v>46192</v>
      </c>
      <c r="M997" s="121">
        <f ca="1" t="shared" si="33"/>
        <v>89</v>
      </c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>
        <v>994</v>
      </c>
      <c r="B998" s="73" t="s">
        <v>37</v>
      </c>
      <c r="C998" s="73" t="s">
        <v>27</v>
      </c>
      <c r="D998" s="74" t="s">
        <v>2219</v>
      </c>
      <c r="E998" s="79" t="s">
        <v>118</v>
      </c>
      <c r="F998" s="80"/>
      <c r="G998" s="81"/>
      <c r="H998" s="89" t="s">
        <v>16</v>
      </c>
      <c r="I998" s="118">
        <v>46100</v>
      </c>
      <c r="J998" s="73">
        <v>3</v>
      </c>
      <c r="K998" s="122"/>
      <c r="L998" s="120">
        <f t="shared" si="32"/>
        <v>46192</v>
      </c>
      <c r="M998" s="121">
        <f ca="1" t="shared" si="33"/>
        <v>89</v>
      </c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>
        <v>995</v>
      </c>
      <c r="B999" s="73" t="s">
        <v>731</v>
      </c>
      <c r="C999" s="73" t="s">
        <v>27</v>
      </c>
      <c r="D999" s="74" t="s">
        <v>2220</v>
      </c>
      <c r="E999" s="79" t="s">
        <v>118</v>
      </c>
      <c r="F999" s="80"/>
      <c r="G999" s="81"/>
      <c r="H999" s="89" t="s">
        <v>16</v>
      </c>
      <c r="I999" s="118">
        <v>46100</v>
      </c>
      <c r="J999" s="73">
        <v>3</v>
      </c>
      <c r="K999" s="122"/>
      <c r="L999" s="120">
        <f t="shared" si="32"/>
        <v>46192</v>
      </c>
      <c r="M999" s="121">
        <f ca="1" t="shared" si="33"/>
        <v>89</v>
      </c>
      <c r="N999" s="73"/>
      <c r="O999" s="73"/>
      <c r="P999" s="73"/>
      <c r="Q999" s="74"/>
      <c r="R999" s="79"/>
      <c r="S999" s="80"/>
      <c r="T999" s="81"/>
      <c r="U999" s="89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>
        <v>996</v>
      </c>
      <c r="B1000" s="73" t="s">
        <v>157</v>
      </c>
      <c r="C1000" s="73" t="s">
        <v>158</v>
      </c>
      <c r="D1000" s="74" t="s">
        <v>1111</v>
      </c>
      <c r="E1000" s="79" t="s">
        <v>1112</v>
      </c>
      <c r="F1000" s="80"/>
      <c r="G1000" s="81"/>
      <c r="H1000" s="82"/>
      <c r="I1000" s="118">
        <v>46100</v>
      </c>
      <c r="J1000" s="73" t="s">
        <v>473</v>
      </c>
      <c r="K1000" s="122"/>
      <c r="L1000" s="120" t="e">
        <f t="shared" si="32"/>
        <v>#VALUE!</v>
      </c>
      <c r="M1000" s="121" t="e">
        <f ca="1" t="shared" si="33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>
        <v>997</v>
      </c>
      <c r="B1001" s="73" t="s">
        <v>162</v>
      </c>
      <c r="C1001" s="73" t="s">
        <v>158</v>
      </c>
      <c r="D1001" s="74" t="s">
        <v>585</v>
      </c>
      <c r="E1001" s="79" t="s">
        <v>586</v>
      </c>
      <c r="F1001" s="80"/>
      <c r="G1001" s="81"/>
      <c r="H1001" s="82"/>
      <c r="I1001" s="118">
        <v>46100</v>
      </c>
      <c r="J1001" s="73" t="s">
        <v>473</v>
      </c>
      <c r="K1001" s="122"/>
      <c r="L1001" s="120" t="e">
        <f t="shared" si="32"/>
        <v>#VALUE!</v>
      </c>
      <c r="M1001" s="121" t="e">
        <f ca="1" t="shared" si="33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>
        <v>998</v>
      </c>
      <c r="B1002" s="73" t="s">
        <v>1830</v>
      </c>
      <c r="C1002" s="73" t="s">
        <v>158</v>
      </c>
      <c r="D1002" s="74" t="s">
        <v>754</v>
      </c>
      <c r="E1002" s="79" t="s">
        <v>158</v>
      </c>
      <c r="F1002" s="80"/>
      <c r="G1002" s="81"/>
      <c r="H1002" s="82"/>
      <c r="I1002" s="118">
        <v>46100</v>
      </c>
      <c r="J1002" s="73" t="s">
        <v>473</v>
      </c>
      <c r="K1002" s="122"/>
      <c r="L1002" s="120" t="e">
        <f t="shared" si="32"/>
        <v>#VALUE!</v>
      </c>
      <c r="M1002" s="121" t="e">
        <f ca="1" t="shared" si="33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>
        <v>999</v>
      </c>
      <c r="B1003" s="73" t="s">
        <v>169</v>
      </c>
      <c r="C1003" s="73" t="s">
        <v>158</v>
      </c>
      <c r="D1003" s="74" t="s">
        <v>2221</v>
      </c>
      <c r="E1003" s="79" t="s">
        <v>221</v>
      </c>
      <c r="F1003" s="80"/>
      <c r="G1003" s="81"/>
      <c r="H1003" s="82"/>
      <c r="I1003" s="118">
        <v>46100</v>
      </c>
      <c r="J1003" s="73">
        <v>3</v>
      </c>
      <c r="K1003" s="122"/>
      <c r="L1003" s="120">
        <f t="shared" si="32"/>
        <v>46192</v>
      </c>
      <c r="M1003" s="121">
        <f ca="1" t="shared" si="33"/>
        <v>89</v>
      </c>
      <c r="N1003" s="73"/>
      <c r="O1003" s="73"/>
      <c r="P1003" s="73"/>
      <c r="Q1003" s="74"/>
      <c r="R1003" s="79"/>
      <c r="S1003" s="80"/>
      <c r="T1003" s="81"/>
      <c r="U1003" s="78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78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>
        <v>1000</v>
      </c>
      <c r="B1004" s="73" t="s">
        <v>1832</v>
      </c>
      <c r="C1004" s="73" t="s">
        <v>27</v>
      </c>
      <c r="D1004" s="74" t="s">
        <v>2222</v>
      </c>
      <c r="E1004" s="79" t="s">
        <v>1169</v>
      </c>
      <c r="F1004" s="80"/>
      <c r="G1004" s="81"/>
      <c r="H1004" s="130" t="s">
        <v>16</v>
      </c>
      <c r="I1004" s="118">
        <v>46100</v>
      </c>
      <c r="J1004" s="73">
        <v>3</v>
      </c>
      <c r="K1004" s="122"/>
      <c r="L1004" s="120">
        <f t="shared" si="32"/>
        <v>46192</v>
      </c>
      <c r="M1004" s="121">
        <f ca="1" t="shared" si="33"/>
        <v>89</v>
      </c>
      <c r="N1004" s="73"/>
      <c r="O1004" s="73"/>
      <c r="P1004" s="73"/>
      <c r="Q1004" s="74"/>
      <c r="R1004" s="79"/>
      <c r="S1004" s="80"/>
      <c r="T1004" s="81"/>
      <c r="U1004" s="130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2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>
        <v>1001</v>
      </c>
      <c r="B1005" s="73" t="s">
        <v>37</v>
      </c>
      <c r="C1005" s="73" t="s">
        <v>13</v>
      </c>
      <c r="D1005" s="74" t="s">
        <v>2223</v>
      </c>
      <c r="E1005" s="79" t="s">
        <v>2224</v>
      </c>
      <c r="F1005" s="80"/>
      <c r="G1005" s="81"/>
      <c r="H1005" s="130" t="s">
        <v>16</v>
      </c>
      <c r="I1005" s="118">
        <v>46101</v>
      </c>
      <c r="J1005" s="73">
        <v>3</v>
      </c>
      <c r="K1005" s="122"/>
      <c r="L1005" s="120">
        <f t="shared" si="32"/>
        <v>46193</v>
      </c>
      <c r="M1005" s="121">
        <f ca="1" t="shared" si="33"/>
        <v>90</v>
      </c>
      <c r="N1005" s="73"/>
      <c r="O1005" s="73"/>
      <c r="P1005" s="73"/>
      <c r="Q1005" s="74"/>
      <c r="R1005" s="79"/>
      <c r="S1005" s="80"/>
      <c r="T1005" s="81"/>
      <c r="U1005" s="130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>
        <v>1002</v>
      </c>
      <c r="B1006" s="73" t="s">
        <v>37</v>
      </c>
      <c r="C1006" s="73" t="s">
        <v>13</v>
      </c>
      <c r="D1006" s="74" t="s">
        <v>2225</v>
      </c>
      <c r="E1006" s="79" t="s">
        <v>2226</v>
      </c>
      <c r="F1006" s="80"/>
      <c r="G1006" s="81"/>
      <c r="H1006" s="130" t="s">
        <v>16</v>
      </c>
      <c r="I1006" s="118">
        <v>46101</v>
      </c>
      <c r="J1006" s="73">
        <v>3</v>
      </c>
      <c r="K1006" s="122"/>
      <c r="L1006" s="120">
        <f t="shared" si="32"/>
        <v>46193</v>
      </c>
      <c r="M1006" s="121">
        <f ca="1" t="shared" si="33"/>
        <v>90</v>
      </c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>
        <v>1003</v>
      </c>
      <c r="B1007" s="73" t="s">
        <v>421</v>
      </c>
      <c r="C1007" s="73" t="s">
        <v>13</v>
      </c>
      <c r="D1007" s="74" t="s">
        <v>2227</v>
      </c>
      <c r="E1007" s="79" t="s">
        <v>1104</v>
      </c>
      <c r="F1007" s="80"/>
      <c r="G1007" s="81"/>
      <c r="H1007" s="130" t="s">
        <v>16</v>
      </c>
      <c r="I1007" s="118">
        <v>46101</v>
      </c>
      <c r="J1007" s="73">
        <v>3</v>
      </c>
      <c r="K1007" s="122"/>
      <c r="L1007" s="120">
        <f t="shared" si="32"/>
        <v>46193</v>
      </c>
      <c r="M1007" s="121">
        <f ca="1" t="shared" si="33"/>
        <v>90</v>
      </c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>
        <v>1004</v>
      </c>
      <c r="B1008" s="73" t="s">
        <v>421</v>
      </c>
      <c r="C1008" s="73" t="s">
        <v>27</v>
      </c>
      <c r="D1008" s="74" t="s">
        <v>2228</v>
      </c>
      <c r="E1008" s="79" t="s">
        <v>361</v>
      </c>
      <c r="F1008" s="80"/>
      <c r="G1008" s="81"/>
      <c r="H1008" s="130" t="s">
        <v>16</v>
      </c>
      <c r="I1008" s="118">
        <v>46102</v>
      </c>
      <c r="J1008" s="73">
        <v>3</v>
      </c>
      <c r="K1008" s="122"/>
      <c r="L1008" s="120">
        <f t="shared" si="32"/>
        <v>46194</v>
      </c>
      <c r="M1008" s="121">
        <f ca="1" t="shared" si="33"/>
        <v>91</v>
      </c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>
        <v>1005</v>
      </c>
      <c r="B1009" s="73" t="s">
        <v>2229</v>
      </c>
      <c r="C1009" s="73" t="s">
        <v>13</v>
      </c>
      <c r="D1009" s="74" t="s">
        <v>2230</v>
      </c>
      <c r="E1009" s="79" t="s">
        <v>2231</v>
      </c>
      <c r="F1009" s="80"/>
      <c r="G1009" s="81"/>
      <c r="H1009" s="204"/>
      <c r="I1009" s="118">
        <v>46102</v>
      </c>
      <c r="J1009" s="73">
        <v>3</v>
      </c>
      <c r="K1009" s="122"/>
      <c r="L1009" s="120">
        <f t="shared" si="32"/>
        <v>46194</v>
      </c>
      <c r="M1009" s="121">
        <f ca="1" t="shared" si="33"/>
        <v>91</v>
      </c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>
        <v>1006</v>
      </c>
      <c r="B1010" s="278" t="s">
        <v>169</v>
      </c>
      <c r="C1010" s="73" t="s">
        <v>158</v>
      </c>
      <c r="D1010" s="279" t="s">
        <v>2232</v>
      </c>
      <c r="E1010" s="79" t="s">
        <v>2233</v>
      </c>
      <c r="F1010" s="80"/>
      <c r="G1010" s="81"/>
      <c r="H1010" s="204"/>
      <c r="I1010" s="118">
        <v>46102</v>
      </c>
      <c r="J1010" s="73">
        <v>3</v>
      </c>
      <c r="K1010" s="122"/>
      <c r="L1010" s="120">
        <f t="shared" si="32"/>
        <v>46194</v>
      </c>
      <c r="M1010" s="121">
        <f ca="1" t="shared" si="33"/>
        <v>91</v>
      </c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>
        <v>1007</v>
      </c>
      <c r="B1011" s="278" t="s">
        <v>169</v>
      </c>
      <c r="C1011" s="73" t="s">
        <v>158</v>
      </c>
      <c r="D1011" s="279" t="s">
        <v>2234</v>
      </c>
      <c r="E1011" s="79" t="s">
        <v>2235</v>
      </c>
      <c r="F1011" s="80"/>
      <c r="G1011" s="81"/>
      <c r="H1011" s="204"/>
      <c r="I1011" s="118">
        <v>46102</v>
      </c>
      <c r="J1011" s="73">
        <v>3</v>
      </c>
      <c r="K1011" s="122"/>
      <c r="L1011" s="120">
        <f t="shared" si="32"/>
        <v>46194</v>
      </c>
      <c r="M1011" s="121">
        <f ca="1" t="shared" si="33"/>
        <v>91</v>
      </c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>
        <v>1008</v>
      </c>
      <c r="B1012" s="278" t="s">
        <v>169</v>
      </c>
      <c r="C1012" s="73" t="s">
        <v>158</v>
      </c>
      <c r="D1012" s="279" t="s">
        <v>2236</v>
      </c>
      <c r="E1012" s="79" t="s">
        <v>2237</v>
      </c>
      <c r="F1012" s="80"/>
      <c r="G1012" s="81"/>
      <c r="H1012" s="204"/>
      <c r="I1012" s="118">
        <v>46102</v>
      </c>
      <c r="J1012" s="73">
        <v>3</v>
      </c>
      <c r="K1012" s="122"/>
      <c r="L1012" s="120">
        <f t="shared" si="32"/>
        <v>46194</v>
      </c>
      <c r="M1012" s="121">
        <f ca="1" t="shared" si="33"/>
        <v>91</v>
      </c>
      <c r="N1012" s="73"/>
      <c r="O1012" s="73"/>
      <c r="P1012" s="73"/>
      <c r="Q1012" s="74"/>
      <c r="R1012" s="79"/>
      <c r="S1012" s="80"/>
      <c r="T1012" s="81"/>
      <c r="U1012" s="130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130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>
        <v>1009</v>
      </c>
      <c r="B1013" s="278" t="s">
        <v>169</v>
      </c>
      <c r="C1013" s="73" t="s">
        <v>158</v>
      </c>
      <c r="D1013" s="279" t="s">
        <v>2238</v>
      </c>
      <c r="E1013" s="79" t="s">
        <v>2239</v>
      </c>
      <c r="F1013" s="80"/>
      <c r="G1013" s="81"/>
      <c r="H1013" s="204"/>
      <c r="I1013" s="118">
        <v>46102</v>
      </c>
      <c r="J1013" s="73">
        <v>3</v>
      </c>
      <c r="K1013" s="122"/>
      <c r="L1013" s="120">
        <f t="shared" si="32"/>
        <v>46194</v>
      </c>
      <c r="M1013" s="121">
        <f ca="1" t="shared" si="33"/>
        <v>91</v>
      </c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>
        <v>1010</v>
      </c>
      <c r="B1014" s="278" t="s">
        <v>169</v>
      </c>
      <c r="C1014" s="73" t="s">
        <v>158</v>
      </c>
      <c r="D1014" s="279" t="s">
        <v>2240</v>
      </c>
      <c r="E1014" s="79" t="s">
        <v>2241</v>
      </c>
      <c r="F1014" s="80"/>
      <c r="G1014" s="81"/>
      <c r="H1014" s="204"/>
      <c r="I1014" s="118">
        <v>46102</v>
      </c>
      <c r="J1014" s="73">
        <v>3</v>
      </c>
      <c r="K1014" s="122"/>
      <c r="L1014" s="120">
        <f t="shared" si="32"/>
        <v>46194</v>
      </c>
      <c r="M1014" s="121">
        <f ca="1" t="shared" si="33"/>
        <v>91</v>
      </c>
      <c r="N1014" s="73"/>
      <c r="O1014" s="73"/>
      <c r="P1014" s="73"/>
      <c r="Q1014" s="74"/>
      <c r="R1014" s="79"/>
      <c r="S1014" s="80"/>
      <c r="T1014" s="81"/>
      <c r="U1014" s="78"/>
      <c r="V1014" s="15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>
        <v>1011</v>
      </c>
      <c r="B1015" s="278" t="s">
        <v>169</v>
      </c>
      <c r="C1015" s="73" t="s">
        <v>158</v>
      </c>
      <c r="D1015" s="279" t="s">
        <v>2242</v>
      </c>
      <c r="E1015" s="79" t="s">
        <v>2243</v>
      </c>
      <c r="F1015" s="80"/>
      <c r="G1015" s="81"/>
      <c r="H1015" s="204"/>
      <c r="I1015" s="118">
        <v>46102</v>
      </c>
      <c r="J1015" s="73">
        <v>3</v>
      </c>
      <c r="K1015" s="122"/>
      <c r="L1015" s="120">
        <f t="shared" si="32"/>
        <v>46194</v>
      </c>
      <c r="M1015" s="121">
        <f ca="1" t="shared" si="33"/>
        <v>91</v>
      </c>
      <c r="N1015" s="73"/>
      <c r="O1015" s="73"/>
      <c r="P1015" s="73"/>
      <c r="Q1015" s="74"/>
      <c r="R1015" s="79"/>
      <c r="S1015" s="80"/>
      <c r="T1015" s="81"/>
      <c r="U1015" s="82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>
        <v>1012</v>
      </c>
      <c r="B1016" s="73" t="s">
        <v>397</v>
      </c>
      <c r="C1016" s="73" t="s">
        <v>158</v>
      </c>
      <c r="D1016" s="74" t="s">
        <v>1671</v>
      </c>
      <c r="E1016" s="79" t="s">
        <v>1672</v>
      </c>
      <c r="F1016" s="80"/>
      <c r="G1016" s="81"/>
      <c r="H1016" s="204"/>
      <c r="I1016" s="118">
        <v>46102</v>
      </c>
      <c r="J1016" s="73" t="s">
        <v>473</v>
      </c>
      <c r="K1016" s="122"/>
      <c r="L1016" s="120" t="e">
        <f t="shared" si="32"/>
        <v>#VALUE!</v>
      </c>
      <c r="M1016" s="121" t="e">
        <f ca="1" t="shared" si="33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78"/>
      <c r="I1017" s="118"/>
      <c r="J1017" s="73"/>
      <c r="K1017" s="122"/>
      <c r="L1017" s="120">
        <f t="shared" si="32"/>
        <v>0</v>
      </c>
      <c r="M1017" s="121">
        <f ca="1" t="shared" si="33"/>
        <v>-46103</v>
      </c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78"/>
      <c r="I1018" s="118"/>
      <c r="J1018" s="73"/>
      <c r="K1018" s="122"/>
      <c r="L1018" s="120">
        <f t="shared" si="32"/>
        <v>0</v>
      </c>
      <c r="M1018" s="121">
        <f ca="1" t="shared" si="33"/>
        <v>-46103</v>
      </c>
      <c r="N1018" s="73"/>
      <c r="O1018" s="73"/>
      <c r="P1018" s="73"/>
      <c r="Q1018" s="74"/>
      <c r="R1018" s="79"/>
      <c r="S1018" s="80"/>
      <c r="T1018" s="81"/>
      <c r="U1018" s="78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89"/>
      <c r="I1019" s="118"/>
      <c r="J1019" s="73"/>
      <c r="K1019" s="122"/>
      <c r="L1019" s="120">
        <f t="shared" si="32"/>
        <v>0</v>
      </c>
      <c r="M1019" s="121">
        <f ca="1" t="shared" si="33"/>
        <v>-46103</v>
      </c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89"/>
      <c r="I1020" s="118"/>
      <c r="J1020" s="73"/>
      <c r="K1020" s="122"/>
      <c r="L1020" s="120">
        <f t="shared" si="32"/>
        <v>0</v>
      </c>
      <c r="M1020" s="121">
        <f ca="1" t="shared" si="33"/>
        <v>-46103</v>
      </c>
      <c r="N1020" s="73"/>
      <c r="O1020" s="73"/>
      <c r="P1020" s="73"/>
      <c r="Q1020" s="74"/>
      <c r="R1020" s="79"/>
      <c r="S1020" s="80"/>
      <c r="T1020" s="81"/>
      <c r="U1020" s="78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89"/>
      <c r="I1021" s="118"/>
      <c r="J1021" s="73"/>
      <c r="K1021" s="122"/>
      <c r="L1021" s="120">
        <f t="shared" si="32"/>
        <v>0</v>
      </c>
      <c r="M1021" s="121">
        <f ca="1" t="shared" si="33"/>
        <v>-46103</v>
      </c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89"/>
      <c r="I1022" s="118"/>
      <c r="J1022" s="73"/>
      <c r="K1022" s="122"/>
      <c r="L1022" s="120">
        <f t="shared" si="32"/>
        <v>0</v>
      </c>
      <c r="M1022" s="121">
        <f ca="1" t="shared" si="33"/>
        <v>-46103</v>
      </c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130"/>
      <c r="I1023" s="118"/>
      <c r="J1023" s="73"/>
      <c r="K1023" s="122"/>
      <c r="L1023" s="120">
        <f t="shared" si="32"/>
        <v>0</v>
      </c>
      <c r="M1023" s="121">
        <f ca="1" t="shared" si="33"/>
        <v>-46103</v>
      </c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130"/>
      <c r="I1024" s="118"/>
      <c r="J1024" s="73"/>
      <c r="K1024" s="122"/>
      <c r="L1024" s="120">
        <f t="shared" si="32"/>
        <v>0</v>
      </c>
      <c r="M1024" s="121">
        <f ca="1" t="shared" si="33"/>
        <v>-46103</v>
      </c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130"/>
      <c r="I1025" s="118"/>
      <c r="J1025" s="73"/>
      <c r="K1025" s="122"/>
      <c r="L1025" s="120">
        <f t="shared" si="32"/>
        <v>0</v>
      </c>
      <c r="M1025" s="121">
        <f ca="1" t="shared" si="33"/>
        <v>-46103</v>
      </c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130"/>
      <c r="I1026" s="118"/>
      <c r="J1026" s="73"/>
      <c r="K1026" s="122"/>
      <c r="L1026" s="120">
        <f t="shared" si="32"/>
        <v>0</v>
      </c>
      <c r="M1026" s="121">
        <f ca="1" t="shared" si="33"/>
        <v>-46103</v>
      </c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78"/>
      <c r="I1027" s="118"/>
      <c r="J1027" s="73"/>
      <c r="K1027" s="122"/>
      <c r="L1027" s="120">
        <f t="shared" si="32"/>
        <v>0</v>
      </c>
      <c r="M1027" s="121">
        <f ca="1" t="shared" si="33"/>
        <v>-46103</v>
      </c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78"/>
      <c r="I1028" s="118"/>
      <c r="J1028" s="73"/>
      <c r="K1028" s="122"/>
      <c r="L1028" s="120">
        <f t="shared" ref="L1028:L1091" si="34">EDATE(I1028,J1028)</f>
        <v>0</v>
      </c>
      <c r="M1028" s="121">
        <f ca="1" t="shared" ref="M1028:M1091" si="35">L1028-TODAY()</f>
        <v>-46103</v>
      </c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78"/>
      <c r="I1029" s="118"/>
      <c r="J1029" s="73"/>
      <c r="K1029" s="122"/>
      <c r="L1029" s="120">
        <f t="shared" si="34"/>
        <v>0</v>
      </c>
      <c r="M1029" s="121">
        <f ca="1" t="shared" si="35"/>
        <v>-46103</v>
      </c>
      <c r="N1029" s="73"/>
      <c r="O1029" s="73"/>
      <c r="P1029" s="73"/>
      <c r="Q1029" s="74"/>
      <c r="R1029" s="79"/>
      <c r="S1029" s="80"/>
      <c r="T1029" s="81"/>
      <c r="U1029" s="89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78"/>
      <c r="I1030" s="118"/>
      <c r="J1030" s="73"/>
      <c r="K1030" s="122"/>
      <c r="L1030" s="120">
        <f t="shared" si="34"/>
        <v>0</v>
      </c>
      <c r="M1030" s="121">
        <f ca="1" t="shared" si="35"/>
        <v>-46103</v>
      </c>
      <c r="N1030" s="73"/>
      <c r="O1030" s="73"/>
      <c r="P1030" s="73"/>
      <c r="Q1030" s="74"/>
      <c r="R1030" s="79"/>
      <c r="S1030" s="80"/>
      <c r="T1030" s="81"/>
      <c r="U1030" s="89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>
        <f t="shared" si="34"/>
        <v>0</v>
      </c>
      <c r="M1031" s="121">
        <f ca="1" t="shared" si="35"/>
        <v>-46103</v>
      </c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130"/>
      <c r="I1032" s="118"/>
      <c r="J1032" s="73"/>
      <c r="K1032" s="122"/>
      <c r="L1032" s="120">
        <f t="shared" si="34"/>
        <v>0</v>
      </c>
      <c r="M1032" s="121">
        <f ca="1" t="shared" si="35"/>
        <v>-46103</v>
      </c>
      <c r="N1032" s="73"/>
      <c r="O1032" s="73"/>
      <c r="P1032" s="73"/>
      <c r="Q1032" s="74"/>
      <c r="R1032" s="79"/>
      <c r="S1032" s="80"/>
      <c r="T1032" s="81"/>
      <c r="U1032" s="130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130"/>
      <c r="I1033" s="118"/>
      <c r="J1033" s="73"/>
      <c r="K1033" s="122"/>
      <c r="L1033" s="120">
        <f t="shared" si="34"/>
        <v>0</v>
      </c>
      <c r="M1033" s="121">
        <f ca="1" t="shared" si="35"/>
        <v>-46103</v>
      </c>
      <c r="N1033" s="73"/>
      <c r="O1033" s="73"/>
      <c r="P1033" s="73"/>
      <c r="Q1033" s="74"/>
      <c r="R1033" s="79"/>
      <c r="S1033" s="80"/>
      <c r="T1033" s="81"/>
      <c r="U1033" s="130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130"/>
      <c r="I1034" s="118"/>
      <c r="J1034" s="73"/>
      <c r="K1034" s="122"/>
      <c r="L1034" s="120">
        <f t="shared" si="34"/>
        <v>0</v>
      </c>
      <c r="M1034" s="121">
        <f ca="1" t="shared" si="35"/>
        <v>-46103</v>
      </c>
      <c r="N1034" s="73"/>
      <c r="O1034" s="73"/>
      <c r="P1034" s="73"/>
      <c r="Q1034" s="74"/>
      <c r="R1034" s="79"/>
      <c r="S1034" s="80"/>
      <c r="T1034" s="81"/>
      <c r="U1034" s="130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130"/>
      <c r="I1035" s="118"/>
      <c r="J1035" s="73"/>
      <c r="K1035" s="122"/>
      <c r="L1035" s="120">
        <f t="shared" si="34"/>
        <v>0</v>
      </c>
      <c r="M1035" s="121">
        <f ca="1" t="shared" si="35"/>
        <v>-46103</v>
      </c>
      <c r="N1035" s="73"/>
      <c r="O1035" s="73"/>
      <c r="P1035" s="73"/>
      <c r="Q1035" s="74"/>
      <c r="R1035" s="79"/>
      <c r="S1035" s="80"/>
      <c r="T1035" s="81"/>
      <c r="U1035" s="130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130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>
        <f t="shared" si="34"/>
        <v>0</v>
      </c>
      <c r="M1036" s="121">
        <f ca="1" t="shared" si="35"/>
        <v>-46103</v>
      </c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>
        <f t="shared" si="34"/>
        <v>0</v>
      </c>
      <c r="M1037" s="121">
        <f ca="1" t="shared" si="35"/>
        <v>-46103</v>
      </c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89"/>
      <c r="I1038" s="118"/>
      <c r="J1038" s="73"/>
      <c r="K1038" s="122"/>
      <c r="L1038" s="120">
        <f t="shared" si="34"/>
        <v>0</v>
      </c>
      <c r="M1038" s="121">
        <f ca="1" t="shared" si="35"/>
        <v>-46103</v>
      </c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89"/>
      <c r="I1039" s="118"/>
      <c r="J1039" s="73"/>
      <c r="K1039" s="122"/>
      <c r="L1039" s="120">
        <f t="shared" si="34"/>
        <v>0</v>
      </c>
      <c r="M1039" s="121">
        <f ca="1" t="shared" si="35"/>
        <v>-46103</v>
      </c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>
        <f t="shared" si="34"/>
        <v>0</v>
      </c>
      <c r="M1040" s="121">
        <f ca="1" t="shared" si="35"/>
        <v>-46103</v>
      </c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89"/>
      <c r="I1041" s="118"/>
      <c r="J1041" s="73"/>
      <c r="K1041" s="122"/>
      <c r="L1041" s="120">
        <f t="shared" si="34"/>
        <v>0</v>
      </c>
      <c r="M1041" s="121">
        <f ca="1" t="shared" si="35"/>
        <v>-46103</v>
      </c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>
        <f t="shared" si="34"/>
        <v>0</v>
      </c>
      <c r="M1042" s="121">
        <f ca="1" t="shared" si="35"/>
        <v>-46103</v>
      </c>
      <c r="N1042" s="73"/>
      <c r="O1042" s="73"/>
      <c r="P1042" s="73"/>
      <c r="Q1042" s="74"/>
      <c r="R1042" s="79"/>
      <c r="S1042" s="80"/>
      <c r="T1042" s="81"/>
      <c r="U1042" s="130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>
        <f t="shared" si="34"/>
        <v>0</v>
      </c>
      <c r="M1043" s="121">
        <f ca="1" t="shared" si="35"/>
        <v>-46103</v>
      </c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>
        <f t="shared" si="34"/>
        <v>0</v>
      </c>
      <c r="M1044" s="121">
        <f ca="1" t="shared" si="35"/>
        <v>-46103</v>
      </c>
      <c r="N1044" s="73"/>
      <c r="O1044" s="73"/>
      <c r="P1044" s="73"/>
      <c r="Q1044" s="74"/>
      <c r="R1044" s="79"/>
      <c r="S1044" s="80"/>
      <c r="T1044" s="81"/>
      <c r="U1044" s="130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130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89"/>
      <c r="I1045" s="118"/>
      <c r="J1045" s="73"/>
      <c r="K1045" s="122"/>
      <c r="L1045" s="120">
        <f t="shared" si="34"/>
        <v>0</v>
      </c>
      <c r="M1045" s="121">
        <f ca="1" t="shared" si="35"/>
        <v>-46103</v>
      </c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>
        <f t="shared" si="34"/>
        <v>0</v>
      </c>
      <c r="M1046" s="121">
        <f ca="1" t="shared" si="35"/>
        <v>-46103</v>
      </c>
      <c r="N1046" s="73"/>
      <c r="O1046" s="73"/>
      <c r="P1046" s="73"/>
      <c r="Q1046" s="74"/>
      <c r="R1046" s="79"/>
      <c r="S1046" s="80"/>
      <c r="T1046" s="81"/>
      <c r="U1046" s="89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130"/>
      <c r="I1047" s="118"/>
      <c r="J1047" s="73"/>
      <c r="K1047" s="122"/>
      <c r="L1047" s="120">
        <f t="shared" si="34"/>
        <v>0</v>
      </c>
      <c r="M1047" s="121">
        <f ca="1" t="shared" si="35"/>
        <v>-46103</v>
      </c>
      <c r="N1047" s="73"/>
      <c r="O1047" s="73"/>
      <c r="P1047" s="73"/>
      <c r="Q1047" s="74"/>
      <c r="R1047" s="79"/>
      <c r="S1047" s="80"/>
      <c r="T1047" s="81"/>
      <c r="U1047" s="89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130"/>
      <c r="I1048" s="118"/>
      <c r="J1048" s="73"/>
      <c r="K1048" s="122"/>
      <c r="L1048" s="120">
        <f t="shared" si="34"/>
        <v>0</v>
      </c>
      <c r="M1048" s="121">
        <f ca="1" t="shared" si="35"/>
        <v>-46103</v>
      </c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89"/>
      <c r="I1049" s="118"/>
      <c r="J1049" s="73"/>
      <c r="K1049" s="122"/>
      <c r="L1049" s="120">
        <f t="shared" si="34"/>
        <v>0</v>
      </c>
      <c r="M1049" s="121">
        <f ca="1" t="shared" si="35"/>
        <v>-46103</v>
      </c>
      <c r="N1049" s="73"/>
      <c r="O1049" s="73"/>
      <c r="P1049" s="73"/>
      <c r="Q1049" s="74"/>
      <c r="R1049" s="79"/>
      <c r="S1049" s="80"/>
      <c r="T1049" s="81"/>
      <c r="U1049" s="89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ht="50" customHeight="1" spans="1:52">
      <c r="A1050" s="73"/>
      <c r="B1050" s="73"/>
      <c r="C1050" s="73"/>
      <c r="D1050" s="74"/>
      <c r="E1050" s="79"/>
      <c r="F1050" s="80"/>
      <c r="G1050" s="81"/>
      <c r="H1050" s="130"/>
      <c r="I1050" s="118"/>
      <c r="J1050" s="73"/>
      <c r="K1050" s="122"/>
      <c r="L1050" s="120">
        <f t="shared" si="34"/>
        <v>0</v>
      </c>
      <c r="M1050" s="121">
        <f ca="1" t="shared" si="35"/>
        <v>-46103</v>
      </c>
      <c r="N1050" s="73"/>
      <c r="O1050" s="73"/>
      <c r="P1050" s="73"/>
      <c r="Q1050" s="74"/>
      <c r="R1050" s="79"/>
      <c r="S1050" s="80"/>
      <c r="T1050" s="81"/>
      <c r="U1050" s="130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78"/>
      <c r="I1051" s="118"/>
      <c r="J1051" s="73"/>
      <c r="K1051" s="122"/>
      <c r="L1051" s="120">
        <f t="shared" si="34"/>
        <v>0</v>
      </c>
      <c r="M1051" s="121">
        <f ca="1" t="shared" si="35"/>
        <v>-46103</v>
      </c>
      <c r="N1051" s="73"/>
      <c r="O1051" s="73"/>
      <c r="P1051" s="73"/>
      <c r="Q1051" s="74"/>
      <c r="R1051" s="79"/>
      <c r="S1051" s="80"/>
      <c r="T1051" s="81"/>
      <c r="U1051" s="78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>
        <f t="shared" si="34"/>
        <v>0</v>
      </c>
      <c r="M1052" s="121">
        <f ca="1" t="shared" si="35"/>
        <v>-46103</v>
      </c>
      <c r="N1052" s="73"/>
      <c r="O1052" s="73"/>
      <c r="P1052" s="73"/>
      <c r="Q1052" s="74"/>
      <c r="R1052" s="79"/>
      <c r="S1052" s="80"/>
      <c r="T1052" s="81"/>
      <c r="U1052" s="78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147"/>
      <c r="I1053" s="118"/>
      <c r="J1053" s="73"/>
      <c r="K1053" s="122"/>
      <c r="L1053" s="120">
        <f t="shared" si="34"/>
        <v>0</v>
      </c>
      <c r="M1053" s="121">
        <f ca="1" t="shared" si="35"/>
        <v>-46103</v>
      </c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78"/>
      <c r="I1054" s="118"/>
      <c r="J1054" s="73"/>
      <c r="K1054" s="122"/>
      <c r="L1054" s="120">
        <f t="shared" si="34"/>
        <v>0</v>
      </c>
      <c r="M1054" s="121">
        <f ca="1" t="shared" si="35"/>
        <v>-46103</v>
      </c>
      <c r="N1054" s="73"/>
      <c r="O1054" s="73"/>
      <c r="P1054" s="73"/>
      <c r="Q1054" s="74"/>
      <c r="R1054" s="79"/>
      <c r="S1054" s="80"/>
      <c r="T1054" s="81"/>
      <c r="U1054" s="78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89"/>
      <c r="I1055" s="118"/>
      <c r="J1055" s="73"/>
      <c r="K1055" s="122"/>
      <c r="L1055" s="120">
        <f t="shared" si="34"/>
        <v>0</v>
      </c>
      <c r="M1055" s="121">
        <f ca="1" t="shared" si="35"/>
        <v>-46103</v>
      </c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2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89"/>
      <c r="I1056" s="118"/>
      <c r="J1056" s="73"/>
      <c r="K1056" s="122"/>
      <c r="L1056" s="120">
        <f t="shared" si="34"/>
        <v>0</v>
      </c>
      <c r="M1056" s="121">
        <f ca="1" t="shared" si="35"/>
        <v>-46103</v>
      </c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>
        <f t="shared" si="34"/>
        <v>0</v>
      </c>
      <c r="M1057" s="121">
        <f ca="1" t="shared" si="35"/>
        <v>-46103</v>
      </c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>
        <f t="shared" si="34"/>
        <v>0</v>
      </c>
      <c r="M1058" s="121">
        <f ca="1" t="shared" si="35"/>
        <v>-46103</v>
      </c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130"/>
      <c r="I1059" s="118"/>
      <c r="J1059" s="73"/>
      <c r="K1059" s="122"/>
      <c r="L1059" s="120">
        <f t="shared" si="34"/>
        <v>0</v>
      </c>
      <c r="M1059" s="121">
        <f ca="1" t="shared" si="35"/>
        <v>-46103</v>
      </c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78"/>
      <c r="I1060" s="118"/>
      <c r="J1060" s="73"/>
      <c r="K1060" s="122"/>
      <c r="L1060" s="120">
        <f t="shared" si="34"/>
        <v>0</v>
      </c>
      <c r="M1060" s="121">
        <f ca="1" t="shared" si="35"/>
        <v>-46103</v>
      </c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78"/>
      <c r="I1061" s="118"/>
      <c r="J1061" s="73"/>
      <c r="K1061" s="122"/>
      <c r="L1061" s="120">
        <f t="shared" si="34"/>
        <v>0</v>
      </c>
      <c r="M1061" s="121">
        <f ca="1" t="shared" si="35"/>
        <v>-46103</v>
      </c>
      <c r="N1061" s="73"/>
      <c r="O1061" s="73"/>
      <c r="P1061" s="73"/>
      <c r="Q1061" s="74"/>
      <c r="R1061" s="79"/>
      <c r="S1061" s="80"/>
      <c r="T1061" s="81"/>
      <c r="U1061" s="78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78"/>
      <c r="I1062" s="118"/>
      <c r="J1062" s="73"/>
      <c r="K1062" s="122"/>
      <c r="L1062" s="120">
        <f t="shared" si="34"/>
        <v>0</v>
      </c>
      <c r="M1062" s="121">
        <f ca="1" t="shared" si="35"/>
        <v>-46103</v>
      </c>
      <c r="N1062" s="73"/>
      <c r="O1062" s="73"/>
      <c r="P1062" s="73"/>
      <c r="Q1062" s="74"/>
      <c r="R1062" s="79"/>
      <c r="S1062" s="80"/>
      <c r="T1062" s="81"/>
      <c r="U1062" s="89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130"/>
      <c r="I1063" s="118"/>
      <c r="J1063" s="73"/>
      <c r="K1063" s="122"/>
      <c r="L1063" s="120">
        <f t="shared" si="34"/>
        <v>0</v>
      </c>
      <c r="M1063" s="121">
        <f ca="1" t="shared" si="35"/>
        <v>-46103</v>
      </c>
      <c r="N1063" s="73"/>
      <c r="O1063" s="73"/>
      <c r="P1063" s="73"/>
      <c r="Q1063" s="74"/>
      <c r="R1063" s="79"/>
      <c r="S1063" s="80"/>
      <c r="T1063" s="81"/>
      <c r="U1063" s="130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04"/>
      <c r="I1064" s="118"/>
      <c r="J1064" s="73"/>
      <c r="K1064" s="122"/>
      <c r="L1064" s="120">
        <f t="shared" si="34"/>
        <v>0</v>
      </c>
      <c r="M1064" s="121">
        <f ca="1" t="shared" si="35"/>
        <v>-46103</v>
      </c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>
        <f t="shared" si="34"/>
        <v>0</v>
      </c>
      <c r="M1065" s="121">
        <f ca="1" t="shared" si="35"/>
        <v>-46103</v>
      </c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>
        <f t="shared" si="34"/>
        <v>0</v>
      </c>
      <c r="M1066" s="121">
        <f ca="1" t="shared" si="35"/>
        <v>-46103</v>
      </c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256"/>
      <c r="I1067" s="118"/>
      <c r="J1067" s="73"/>
      <c r="K1067" s="122"/>
      <c r="L1067" s="120">
        <f t="shared" si="34"/>
        <v>0</v>
      </c>
      <c r="M1067" s="121">
        <f ca="1" t="shared" si="35"/>
        <v>-46103</v>
      </c>
      <c r="N1067" s="73"/>
      <c r="O1067" s="73"/>
      <c r="P1067" s="73"/>
      <c r="Q1067" s="74"/>
      <c r="R1067" s="79"/>
      <c r="S1067" s="80"/>
      <c r="T1067" s="81"/>
      <c r="U1067" s="256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256"/>
      <c r="I1068" s="118"/>
      <c r="J1068" s="73"/>
      <c r="K1068" s="122"/>
      <c r="L1068" s="120">
        <f t="shared" si="34"/>
        <v>0</v>
      </c>
      <c r="M1068" s="121">
        <f ca="1" t="shared" si="35"/>
        <v>-46103</v>
      </c>
      <c r="N1068" s="73"/>
      <c r="O1068" s="73"/>
      <c r="P1068" s="73"/>
      <c r="Q1068" s="74"/>
      <c r="R1068" s="79"/>
      <c r="S1068" s="80"/>
      <c r="T1068" s="81"/>
      <c r="U1068" s="89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256"/>
      <c r="I1069" s="118"/>
      <c r="J1069" s="73"/>
      <c r="K1069" s="122"/>
      <c r="L1069" s="120">
        <f t="shared" si="34"/>
        <v>0</v>
      </c>
      <c r="M1069" s="121">
        <f ca="1" t="shared" si="35"/>
        <v>-46103</v>
      </c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256"/>
      <c r="I1070" s="118"/>
      <c r="J1070" s="73"/>
      <c r="K1070" s="122"/>
      <c r="L1070" s="120">
        <f t="shared" si="34"/>
        <v>0</v>
      </c>
      <c r="M1070" s="121">
        <f ca="1" t="shared" si="35"/>
        <v>-46103</v>
      </c>
      <c r="N1070" s="73"/>
      <c r="O1070" s="73"/>
      <c r="P1070" s="73"/>
      <c r="Q1070" s="74"/>
      <c r="R1070" s="79"/>
      <c r="S1070" s="80"/>
      <c r="T1070" s="81"/>
      <c r="U1070" s="256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106"/>
      <c r="F1071" s="107"/>
      <c r="G1071" s="108"/>
      <c r="H1071" s="89"/>
      <c r="I1071" s="118"/>
      <c r="J1071" s="73"/>
      <c r="K1071" s="122"/>
      <c r="L1071" s="120">
        <f t="shared" si="34"/>
        <v>0</v>
      </c>
      <c r="M1071" s="121">
        <f ca="1" t="shared" si="35"/>
        <v>-46103</v>
      </c>
      <c r="N1071" s="73"/>
      <c r="O1071" s="73"/>
      <c r="P1071" s="73"/>
      <c r="Q1071" s="74"/>
      <c r="R1071" s="106"/>
      <c r="S1071" s="107"/>
      <c r="T1071" s="108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>
        <f t="shared" si="34"/>
        <v>0</v>
      </c>
      <c r="M1072" s="121">
        <f ca="1" t="shared" si="35"/>
        <v>-46103</v>
      </c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>
        <f t="shared" si="34"/>
        <v>0</v>
      </c>
      <c r="M1073" s="121">
        <f ca="1" t="shared" si="35"/>
        <v>-46103</v>
      </c>
      <c r="N1073" s="73"/>
      <c r="O1073" s="73"/>
      <c r="P1073" s="73"/>
      <c r="Q1073" s="74"/>
      <c r="R1073" s="79"/>
      <c r="S1073" s="80"/>
      <c r="T1073" s="81"/>
      <c r="U1073" s="78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78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89"/>
      <c r="I1074" s="118"/>
      <c r="J1074" s="73"/>
      <c r="K1074" s="122"/>
      <c r="L1074" s="120">
        <f t="shared" si="34"/>
        <v>0</v>
      </c>
      <c r="M1074" s="121">
        <f ca="1" t="shared" si="35"/>
        <v>-46103</v>
      </c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>
        <f t="shared" si="34"/>
        <v>0</v>
      </c>
      <c r="M1075" s="121">
        <f ca="1" t="shared" si="35"/>
        <v>-46103</v>
      </c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>
        <f t="shared" si="34"/>
        <v>0</v>
      </c>
      <c r="M1076" s="121">
        <f ca="1" t="shared" si="35"/>
        <v>-46103</v>
      </c>
      <c r="N1076" s="73"/>
      <c r="O1076" s="73"/>
      <c r="P1076" s="73"/>
      <c r="Q1076" s="74"/>
      <c r="R1076" s="79"/>
      <c r="S1076" s="80"/>
      <c r="T1076" s="81"/>
      <c r="U1076" s="89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>
        <f t="shared" si="34"/>
        <v>0</v>
      </c>
      <c r="M1077" s="121">
        <f ca="1" t="shared" si="35"/>
        <v>-46103</v>
      </c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>
        <f t="shared" si="34"/>
        <v>0</v>
      </c>
      <c r="M1078" s="121">
        <f ca="1" t="shared" si="35"/>
        <v>-46103</v>
      </c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>
        <f t="shared" si="34"/>
        <v>0</v>
      </c>
      <c r="M1079" s="121">
        <f ca="1" t="shared" si="35"/>
        <v>-46103</v>
      </c>
      <c r="N1079" s="73"/>
      <c r="O1079" s="73"/>
      <c r="P1079" s="73"/>
      <c r="Q1079" s="74"/>
      <c r="R1079" s="79"/>
      <c r="S1079" s="80"/>
      <c r="T1079" s="81"/>
      <c r="U1079" s="89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89"/>
      <c r="I1080" s="118"/>
      <c r="J1080" s="73"/>
      <c r="K1080" s="122"/>
      <c r="L1080" s="120">
        <f t="shared" si="34"/>
        <v>0</v>
      </c>
      <c r="M1080" s="121">
        <f ca="1" t="shared" si="35"/>
        <v>-46103</v>
      </c>
      <c r="N1080" s="73"/>
      <c r="O1080" s="73"/>
      <c r="P1080" s="73"/>
      <c r="Q1080" s="74"/>
      <c r="R1080" s="79"/>
      <c r="S1080" s="80"/>
      <c r="T1080" s="81"/>
      <c r="U1080" s="82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>
        <f t="shared" si="34"/>
        <v>0</v>
      </c>
      <c r="M1081" s="121">
        <f ca="1" t="shared" si="35"/>
        <v>-46103</v>
      </c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78"/>
      <c r="I1082" s="118"/>
      <c r="J1082" s="73"/>
      <c r="K1082" s="122"/>
      <c r="L1082" s="120">
        <f t="shared" si="34"/>
        <v>0</v>
      </c>
      <c r="M1082" s="121">
        <f ca="1" t="shared" si="35"/>
        <v>-46103</v>
      </c>
      <c r="N1082" s="73"/>
      <c r="O1082" s="73"/>
      <c r="P1082" s="73"/>
      <c r="Q1082" s="74"/>
      <c r="R1082" s="79"/>
      <c r="S1082" s="80"/>
      <c r="T1082" s="81"/>
      <c r="U1082" s="78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130"/>
      <c r="I1083" s="118"/>
      <c r="J1083" s="73"/>
      <c r="K1083" s="122"/>
      <c r="L1083" s="120">
        <f t="shared" si="34"/>
        <v>0</v>
      </c>
      <c r="M1083" s="121">
        <f ca="1" t="shared" si="35"/>
        <v>-46103</v>
      </c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78"/>
      <c r="I1084" s="118"/>
      <c r="J1084" s="73"/>
      <c r="K1084" s="122"/>
      <c r="L1084" s="120">
        <f t="shared" si="34"/>
        <v>0</v>
      </c>
      <c r="M1084" s="121">
        <f ca="1" t="shared" si="35"/>
        <v>-46103</v>
      </c>
      <c r="N1084" s="73"/>
      <c r="O1084" s="73"/>
      <c r="P1084" s="73"/>
      <c r="Q1084" s="74"/>
      <c r="R1084" s="79"/>
      <c r="S1084" s="80"/>
      <c r="T1084" s="81"/>
      <c r="U1084" s="78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78"/>
      <c r="I1085" s="118"/>
      <c r="J1085" s="73"/>
      <c r="K1085" s="122"/>
      <c r="L1085" s="120">
        <f t="shared" si="34"/>
        <v>0</v>
      </c>
      <c r="M1085" s="121">
        <f ca="1" t="shared" si="35"/>
        <v>-46103</v>
      </c>
      <c r="N1085" s="73"/>
      <c r="O1085" s="73"/>
      <c r="P1085" s="73"/>
      <c r="Q1085" s="74"/>
      <c r="R1085" s="79"/>
      <c r="S1085" s="80"/>
      <c r="T1085" s="81"/>
      <c r="U1085" s="78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>
        <f t="shared" si="34"/>
        <v>0</v>
      </c>
      <c r="M1086" s="121">
        <f ca="1" t="shared" si="35"/>
        <v>-46103</v>
      </c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>
        <f t="shared" si="34"/>
        <v>0</v>
      </c>
      <c r="M1087" s="121">
        <f ca="1" t="shared" si="35"/>
        <v>-46103</v>
      </c>
      <c r="N1087" s="73"/>
      <c r="O1087" s="73"/>
      <c r="P1087" s="73"/>
      <c r="Q1087" s="74"/>
      <c r="R1087" s="79"/>
      <c r="S1087" s="80"/>
      <c r="T1087" s="81"/>
      <c r="U1087" s="82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>
        <f t="shared" si="34"/>
        <v>0</v>
      </c>
      <c r="M1088" s="121">
        <f ca="1" t="shared" si="35"/>
        <v>-46103</v>
      </c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130"/>
      <c r="I1089" s="118"/>
      <c r="J1089" s="73"/>
      <c r="K1089" s="122"/>
      <c r="L1089" s="120">
        <f t="shared" si="34"/>
        <v>0</v>
      </c>
      <c r="M1089" s="121">
        <f ca="1" t="shared" si="35"/>
        <v>-46103</v>
      </c>
      <c r="N1089" s="73"/>
      <c r="O1089" s="73"/>
      <c r="P1089" s="73"/>
      <c r="Q1089" s="74"/>
      <c r="R1089" s="79"/>
      <c r="S1089" s="80"/>
      <c r="T1089" s="81"/>
      <c r="U1089" s="130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130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130"/>
      <c r="I1090" s="118"/>
      <c r="J1090" s="73"/>
      <c r="K1090" s="122"/>
      <c r="L1090" s="120">
        <f t="shared" si="34"/>
        <v>0</v>
      </c>
      <c r="M1090" s="121">
        <f ca="1" t="shared" si="35"/>
        <v>-46103</v>
      </c>
      <c r="N1090" s="73"/>
      <c r="O1090" s="73"/>
      <c r="P1090" s="73"/>
      <c r="Q1090" s="74"/>
      <c r="R1090" s="79"/>
      <c r="S1090" s="80"/>
      <c r="T1090" s="81"/>
      <c r="U1090" s="82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>
        <f t="shared" si="34"/>
        <v>0</v>
      </c>
      <c r="M1091" s="121">
        <f ca="1" t="shared" si="35"/>
        <v>-46103</v>
      </c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>
        <f t="shared" ref="L1092:L1132" si="36">EDATE(I1092,J1092)</f>
        <v>0</v>
      </c>
      <c r="M1092" s="121">
        <f ca="1" t="shared" ref="M1092:M1132" si="37">L1092-TODAY()</f>
        <v>-46103</v>
      </c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>
        <f t="shared" si="36"/>
        <v>0</v>
      </c>
      <c r="M1093" s="121">
        <f ca="1" t="shared" si="37"/>
        <v>-46103</v>
      </c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>
        <f t="shared" si="36"/>
        <v>0</v>
      </c>
      <c r="M1094" s="121">
        <f ca="1" t="shared" si="37"/>
        <v>-46103</v>
      </c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89"/>
      <c r="I1095" s="118"/>
      <c r="J1095" s="73"/>
      <c r="K1095" s="122"/>
      <c r="L1095" s="120">
        <f t="shared" si="36"/>
        <v>0</v>
      </c>
      <c r="M1095" s="121">
        <f ca="1" t="shared" si="37"/>
        <v>-46103</v>
      </c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>
        <f t="shared" si="36"/>
        <v>0</v>
      </c>
      <c r="M1096" s="121">
        <f ca="1" t="shared" si="37"/>
        <v>-46103</v>
      </c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>
        <f t="shared" si="36"/>
        <v>0</v>
      </c>
      <c r="M1097" s="121">
        <f ca="1" t="shared" si="37"/>
        <v>-46103</v>
      </c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89"/>
      <c r="I1098" s="118"/>
      <c r="J1098" s="73"/>
      <c r="K1098" s="122"/>
      <c r="L1098" s="120">
        <f t="shared" si="36"/>
        <v>0</v>
      </c>
      <c r="M1098" s="121">
        <f ca="1" t="shared" si="37"/>
        <v>-46103</v>
      </c>
      <c r="N1098" s="73"/>
      <c r="O1098" s="73"/>
      <c r="P1098" s="73"/>
      <c r="Q1098" s="74"/>
      <c r="R1098" s="79"/>
      <c r="S1098" s="80"/>
      <c r="T1098" s="81"/>
      <c r="U1098" s="82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>
        <f t="shared" si="36"/>
        <v>0</v>
      </c>
      <c r="M1099" s="121">
        <f ca="1" t="shared" si="37"/>
        <v>-46103</v>
      </c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>
        <f t="shared" si="36"/>
        <v>0</v>
      </c>
      <c r="M1100" s="121">
        <f ca="1" t="shared" si="37"/>
        <v>-46103</v>
      </c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89"/>
      <c r="I1101" s="118"/>
      <c r="J1101" s="73"/>
      <c r="K1101" s="122"/>
      <c r="L1101" s="120">
        <f t="shared" si="36"/>
        <v>0</v>
      </c>
      <c r="M1101" s="121">
        <f ca="1" t="shared" si="37"/>
        <v>-46103</v>
      </c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>
        <f t="shared" si="36"/>
        <v>0</v>
      </c>
      <c r="M1102" s="121">
        <f ca="1" t="shared" si="37"/>
        <v>-46103</v>
      </c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>
        <f t="shared" si="36"/>
        <v>0</v>
      </c>
      <c r="M1103" s="121">
        <f ca="1" t="shared" si="37"/>
        <v>-46103</v>
      </c>
      <c r="N1103" s="73"/>
      <c r="O1103" s="73"/>
      <c r="P1103" s="73"/>
      <c r="Q1103" s="74"/>
      <c r="R1103" s="79"/>
      <c r="S1103" s="80"/>
      <c r="T1103" s="81"/>
      <c r="U1103" s="78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>
        <f t="shared" si="36"/>
        <v>0</v>
      </c>
      <c r="M1104" s="121">
        <f ca="1" t="shared" si="37"/>
        <v>-46103</v>
      </c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>
        <f t="shared" si="36"/>
        <v>0</v>
      </c>
      <c r="M1105" s="121">
        <f ca="1" t="shared" si="37"/>
        <v>-46103</v>
      </c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>
        <f t="shared" si="36"/>
        <v>0</v>
      </c>
      <c r="M1106" s="121">
        <f ca="1" t="shared" si="37"/>
        <v>-46103</v>
      </c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>
        <f t="shared" si="36"/>
        <v>0</v>
      </c>
      <c r="M1107" s="121">
        <f ca="1" t="shared" si="37"/>
        <v>-46103</v>
      </c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>
        <f t="shared" si="36"/>
        <v>0</v>
      </c>
      <c r="M1108" s="121">
        <f ca="1" t="shared" si="37"/>
        <v>-46103</v>
      </c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78"/>
      <c r="I1109" s="118"/>
      <c r="J1109" s="73"/>
      <c r="K1109" s="122"/>
      <c r="L1109" s="120">
        <f t="shared" si="36"/>
        <v>0</v>
      </c>
      <c r="M1109" s="121">
        <f ca="1" t="shared" si="37"/>
        <v>-46103</v>
      </c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78"/>
      <c r="I1110" s="118"/>
      <c r="J1110" s="73"/>
      <c r="K1110" s="122"/>
      <c r="L1110" s="120">
        <f t="shared" si="36"/>
        <v>0</v>
      </c>
      <c r="M1110" s="121">
        <f ca="1" t="shared" si="37"/>
        <v>-46103</v>
      </c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78"/>
      <c r="I1111" s="118"/>
      <c r="J1111" s="73"/>
      <c r="K1111" s="122"/>
      <c r="L1111" s="120">
        <f t="shared" si="36"/>
        <v>0</v>
      </c>
      <c r="M1111" s="121">
        <f ca="1" t="shared" si="37"/>
        <v>-46103</v>
      </c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78"/>
      <c r="I1112" s="118"/>
      <c r="J1112" s="73"/>
      <c r="K1112" s="122"/>
      <c r="L1112" s="120">
        <f t="shared" si="36"/>
        <v>0</v>
      </c>
      <c r="M1112" s="121">
        <f ca="1" t="shared" si="37"/>
        <v>-46103</v>
      </c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>
        <f t="shared" si="36"/>
        <v>0</v>
      </c>
      <c r="M1113" s="121">
        <f ca="1" t="shared" si="37"/>
        <v>-46103</v>
      </c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>
        <f t="shared" si="36"/>
        <v>0</v>
      </c>
      <c r="M1114" s="121">
        <f ca="1" t="shared" si="37"/>
        <v>-46103</v>
      </c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>
        <f t="shared" si="36"/>
        <v>0</v>
      </c>
      <c r="M1115" s="121">
        <f ca="1" t="shared" si="37"/>
        <v>-46103</v>
      </c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>
        <f t="shared" si="36"/>
        <v>0</v>
      </c>
      <c r="M1116" s="121">
        <f ca="1" t="shared" si="37"/>
        <v>-46103</v>
      </c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>
        <f t="shared" si="36"/>
        <v>0</v>
      </c>
      <c r="M1117" s="121">
        <f ca="1" t="shared" si="37"/>
        <v>-46103</v>
      </c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74"/>
      <c r="E1118" s="79"/>
      <c r="F1118" s="80"/>
      <c r="G1118" s="81"/>
      <c r="H1118" s="89"/>
      <c r="I1118" s="118"/>
      <c r="J1118" s="73"/>
      <c r="K1118" s="122"/>
      <c r="L1118" s="120">
        <f t="shared" si="36"/>
        <v>0</v>
      </c>
      <c r="M1118" s="121">
        <f ca="1" t="shared" si="37"/>
        <v>-46103</v>
      </c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74"/>
      <c r="E1119" s="79"/>
      <c r="F1119" s="80"/>
      <c r="G1119" s="81"/>
      <c r="H1119" s="89"/>
      <c r="I1119" s="118"/>
      <c r="J1119" s="73"/>
      <c r="K1119" s="122"/>
      <c r="L1119" s="120">
        <f t="shared" si="36"/>
        <v>0</v>
      </c>
      <c r="M1119" s="121">
        <f ca="1" t="shared" si="37"/>
        <v>-46103</v>
      </c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74"/>
      <c r="E1120" s="79"/>
      <c r="F1120" s="80"/>
      <c r="G1120" s="81"/>
      <c r="H1120" s="89"/>
      <c r="I1120" s="118"/>
      <c r="J1120" s="73"/>
      <c r="K1120" s="122"/>
      <c r="L1120" s="120">
        <f t="shared" si="36"/>
        <v>0</v>
      </c>
      <c r="M1120" s="121">
        <f ca="1" t="shared" si="37"/>
        <v>-46103</v>
      </c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74"/>
      <c r="E1121" s="79"/>
      <c r="F1121" s="80"/>
      <c r="G1121" s="81"/>
      <c r="H1121" s="89"/>
      <c r="I1121" s="118"/>
      <c r="J1121" s="73"/>
      <c r="K1121" s="122"/>
      <c r="L1121" s="120">
        <f t="shared" si="36"/>
        <v>0</v>
      </c>
      <c r="M1121" s="121">
        <f ca="1" t="shared" si="37"/>
        <v>-46103</v>
      </c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6"/>
      <c r="E1122" s="79"/>
      <c r="F1122" s="80"/>
      <c r="G1122" s="81"/>
      <c r="H1122" s="89"/>
      <c r="I1122" s="118"/>
      <c r="J1122" s="73"/>
      <c r="K1122" s="122"/>
      <c r="L1122" s="120">
        <f t="shared" si="36"/>
        <v>0</v>
      </c>
      <c r="M1122" s="121">
        <f ca="1" t="shared" si="37"/>
        <v>-46103</v>
      </c>
      <c r="N1122" s="73"/>
      <c r="O1122" s="73"/>
      <c r="P1122" s="73"/>
      <c r="Q1122" s="276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276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6"/>
      <c r="E1123" s="79"/>
      <c r="F1123" s="80"/>
      <c r="G1123" s="81"/>
      <c r="H1123" s="89"/>
      <c r="I1123" s="118"/>
      <c r="J1123" s="73"/>
      <c r="K1123" s="122"/>
      <c r="L1123" s="120">
        <f t="shared" si="36"/>
        <v>0</v>
      </c>
      <c r="M1123" s="121">
        <f ca="1" t="shared" si="37"/>
        <v>-46103</v>
      </c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152"/>
      <c r="C1124" s="194"/>
      <c r="D1124" s="190"/>
      <c r="E1124" s="79"/>
      <c r="F1124" s="80"/>
      <c r="G1124" s="81"/>
      <c r="H1124" s="130"/>
      <c r="I1124" s="118"/>
      <c r="J1124" s="73"/>
      <c r="K1124" s="122"/>
      <c r="L1124" s="120">
        <f t="shared" si="36"/>
        <v>0</v>
      </c>
      <c r="M1124" s="121">
        <f ca="1" t="shared" si="37"/>
        <v>-46103</v>
      </c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6"/>
      <c r="E1125" s="79"/>
      <c r="F1125" s="80"/>
      <c r="G1125" s="81"/>
      <c r="H1125" s="130"/>
      <c r="I1125" s="118"/>
      <c r="J1125" s="73"/>
      <c r="K1125" s="122"/>
      <c r="L1125" s="120">
        <f t="shared" si="36"/>
        <v>0</v>
      </c>
      <c r="M1125" s="121">
        <f ca="1" t="shared" si="37"/>
        <v>-46103</v>
      </c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276"/>
      <c r="E1126" s="79"/>
      <c r="F1126" s="80"/>
      <c r="G1126" s="81"/>
      <c r="H1126" s="89"/>
      <c r="I1126" s="118"/>
      <c r="J1126" s="73"/>
      <c r="K1126" s="122"/>
      <c r="L1126" s="120">
        <f t="shared" si="36"/>
        <v>0</v>
      </c>
      <c r="M1126" s="121">
        <f ca="1" t="shared" si="37"/>
        <v>-46103</v>
      </c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276"/>
      <c r="E1127" s="79"/>
      <c r="F1127" s="80"/>
      <c r="G1127" s="81"/>
      <c r="H1127" s="130"/>
      <c r="I1127" s="118"/>
      <c r="J1127" s="73"/>
      <c r="K1127" s="122"/>
      <c r="L1127" s="120">
        <f t="shared" si="36"/>
        <v>0</v>
      </c>
      <c r="M1127" s="121">
        <f ca="1" t="shared" si="37"/>
        <v>-46103</v>
      </c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276"/>
      <c r="E1128" s="79"/>
      <c r="F1128" s="80"/>
      <c r="G1128" s="81"/>
      <c r="H1128" s="89"/>
      <c r="I1128" s="118"/>
      <c r="J1128" s="73"/>
      <c r="K1128" s="122"/>
      <c r="L1128" s="120">
        <f t="shared" si="36"/>
        <v>0</v>
      </c>
      <c r="M1128" s="121">
        <f ca="1" t="shared" si="37"/>
        <v>-46103</v>
      </c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276"/>
      <c r="E1129" s="79"/>
      <c r="F1129" s="80"/>
      <c r="G1129" s="81"/>
      <c r="H1129" s="89"/>
      <c r="I1129" s="118"/>
      <c r="J1129" s="73"/>
      <c r="K1129" s="122"/>
      <c r="L1129" s="120">
        <f t="shared" si="36"/>
        <v>0</v>
      </c>
      <c r="M1129" s="121">
        <f ca="1" t="shared" si="37"/>
        <v>-46103</v>
      </c>
      <c r="N1129" s="73"/>
      <c r="O1129" s="73"/>
      <c r="P1129" s="73"/>
      <c r="Q1129" s="276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276"/>
      <c r="AE1129" s="79"/>
      <c r="AF1129" s="80"/>
      <c r="AG1129" s="81"/>
      <c r="AH1129" s="82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89"/>
      <c r="I1130" s="118"/>
      <c r="J1130" s="73"/>
      <c r="K1130" s="122"/>
      <c r="L1130" s="120">
        <f t="shared" si="36"/>
        <v>0</v>
      </c>
      <c r="M1130" s="121">
        <f ca="1" t="shared" si="37"/>
        <v>-46103</v>
      </c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>
        <f t="shared" si="36"/>
        <v>0</v>
      </c>
      <c r="M1131" s="121">
        <f ca="1" t="shared" si="37"/>
        <v>-46103</v>
      </c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>
        <f t="shared" si="36"/>
        <v>0</v>
      </c>
      <c r="M1132" s="121">
        <f ca="1" t="shared" si="37"/>
        <v>-46103</v>
      </c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78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78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78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89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89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78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78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78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130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130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130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89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89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89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89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89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89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89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89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78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78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78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78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78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78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78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78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78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78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256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256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89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147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89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89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9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89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130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130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147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2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78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78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78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130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78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78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78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78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78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78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89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89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89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78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78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78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78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89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89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89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78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89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78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89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89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89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130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147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89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130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130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82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89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78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78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78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78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78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78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89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130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89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78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78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78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2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78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2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2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11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2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130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78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78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89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89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89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78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78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89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9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9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82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78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2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2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89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89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89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89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89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89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78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78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78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2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277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277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89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89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89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78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78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78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10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10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1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11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147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spans="1:52">
      <c r="A1323" s="73"/>
      <c r="B1323" s="73"/>
      <c r="C1323" s="73"/>
      <c r="D1323" s="74"/>
      <c r="E1323" s="79"/>
      <c r="F1323" s="80"/>
      <c r="G1323" s="81"/>
      <c r="H1323" s="78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89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89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ht="38" customHeight="1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ht="42" customHeight="1" spans="1:52">
      <c r="A1328" s="73"/>
      <c r="B1328" s="73"/>
      <c r="C1328" s="73"/>
      <c r="D1328" s="74"/>
      <c r="E1328" s="79"/>
      <c r="F1328" s="80"/>
      <c r="G1328" s="81"/>
      <c r="H1328" s="130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130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130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130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89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89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89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89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78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78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78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89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89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89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78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147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89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78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89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78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78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89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89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89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89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89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89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89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89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78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78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78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78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78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78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78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78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78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78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89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89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9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78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78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78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82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89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89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89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78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78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89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89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130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78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89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78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78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78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78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130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89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130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130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130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78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130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2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78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78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106"/>
      <c r="F1462" s="107"/>
      <c r="G1462" s="108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78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78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78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2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89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89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89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89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78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78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78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78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78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78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130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2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2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89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89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89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89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2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130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130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2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78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2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89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89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130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2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89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89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89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spans="1:52">
      <c r="A1551" s="73"/>
      <c r="B1551" s="73"/>
      <c r="C1551" s="73"/>
      <c r="D1551" s="74"/>
      <c r="E1551" s="79"/>
      <c r="F1551" s="80"/>
      <c r="G1551" s="81"/>
      <c r="H1551" s="78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82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82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ht="30" customHeight="1" spans="1:52">
      <c r="A1555" s="73"/>
      <c r="B1555" s="73"/>
      <c r="C1555" s="73"/>
      <c r="D1555" s="74"/>
      <c r="E1555" s="79"/>
      <c r="F1555" s="80"/>
      <c r="G1555" s="81"/>
      <c r="H1555" s="89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ht="29" customHeight="1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130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130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89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9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2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78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2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82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89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89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78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89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78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78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130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130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130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130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83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89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89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106"/>
      <c r="F1605" s="107"/>
      <c r="G1605" s="108"/>
      <c r="H1605" s="89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106"/>
      <c r="F1606" s="107"/>
      <c r="G1606" s="108"/>
      <c r="H1606" s="89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78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78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78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78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130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89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89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89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89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130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130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78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78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78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78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89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78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78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89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89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81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89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130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130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120"/>
      <c r="Z1669" s="121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120"/>
      <c r="Z1670" s="121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120"/>
      <c r="Z1671" s="121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120"/>
      <c r="Z1672" s="121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81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81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81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81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81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78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81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67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81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67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81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81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7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3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81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89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81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67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81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89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81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7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78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81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3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81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81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11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119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81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89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89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81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67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81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67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78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81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78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78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81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78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7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81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81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2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81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81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89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81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81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81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130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78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81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78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81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81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81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81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81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67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81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67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81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78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81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7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81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1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81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89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81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9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9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81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9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81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78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81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81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81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81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81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78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67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78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81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67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81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81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9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67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81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81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67"/>
      <c r="Z1772" s="79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1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67"/>
      <c r="Z1774" s="79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1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78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1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78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1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78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1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1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1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1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1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1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1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1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1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1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1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82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1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82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1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1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1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1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1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1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1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1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1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1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1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1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1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1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1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1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1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1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82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1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82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1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1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1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1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1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1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82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1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1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1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1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1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1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1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78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1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78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1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78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1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82"/>
      <c r="I1825" s="118"/>
      <c r="J1825" s="73"/>
      <c r="K1825" s="12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1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1"/>
      <c r="H1826" s="82"/>
      <c r="I1826" s="118"/>
      <c r="J1826" s="73"/>
      <c r="K1826" s="122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1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118"/>
      <c r="J1827" s="73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1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82"/>
      <c r="I1828" s="118"/>
      <c r="J1828" s="73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1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213"/>
      <c r="I1829" s="282"/>
      <c r="J1829" s="123"/>
      <c r="K1829" s="283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1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0"/>
      <c r="H1830" s="98"/>
      <c r="I1830" s="284"/>
      <c r="J1830" s="285"/>
      <c r="K1830" s="286"/>
      <c r="L1830" s="287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1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0"/>
      <c r="H1831" s="104"/>
      <c r="I1831" s="284"/>
      <c r="J1831" s="285"/>
      <c r="K1831" s="288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1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0"/>
      <c r="H1832" s="104"/>
      <c r="I1832" s="284"/>
      <c r="J1832" s="285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1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284"/>
      <c r="J1833" s="285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1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4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1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4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1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9"/>
      <c r="I1836" s="284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1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4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1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284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1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4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1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84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1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4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1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4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1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4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1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78"/>
      <c r="I1844" s="284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1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284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1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4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1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4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1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4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1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82"/>
      <c r="I1849" s="284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1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82"/>
      <c r="I1850" s="284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1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82"/>
      <c r="I1851" s="284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1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82"/>
      <c r="I1852" s="284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1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1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1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1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1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1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1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1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1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1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1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1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1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1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1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1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1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1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1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1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1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1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1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1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1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1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1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1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1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1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1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1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1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1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1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1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1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1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1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1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1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1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1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1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1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1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1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1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1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1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1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1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1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1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1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1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1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1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1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1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1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1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1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1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1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1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1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1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1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1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1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1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1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1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1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1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1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1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1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1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1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1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1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1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1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1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1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1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1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1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1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1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1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1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1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1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1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1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1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1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1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1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1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1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1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1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1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1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1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1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1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1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1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1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1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1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1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1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1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1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1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1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1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1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1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1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1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1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1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1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1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1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1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81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  <row r="1986" spans="1:52">
      <c r="A1986" s="73"/>
      <c r="B1986" s="73"/>
      <c r="C1986" s="73"/>
      <c r="D1986" s="74"/>
      <c r="E1986" s="79"/>
      <c r="F1986" s="80"/>
      <c r="G1986" s="81"/>
      <c r="H1986" s="78"/>
      <c r="I1986" s="118"/>
      <c r="J1986" s="73"/>
      <c r="K1986" s="122"/>
      <c r="L1986" s="120"/>
      <c r="M1986" s="121"/>
      <c r="N1986" s="73"/>
      <c r="O1986" s="73"/>
      <c r="P1986" s="73"/>
      <c r="Q1986" s="74"/>
      <c r="R1986" s="79"/>
      <c r="S1986" s="80"/>
      <c r="T1986" s="81"/>
      <c r="U1986" s="89"/>
      <c r="V1986" s="118"/>
      <c r="W1986" s="73"/>
      <c r="X1986" s="119"/>
      <c r="Y1986" s="281"/>
      <c r="Z1986" s="183"/>
      <c r="AA1986" s="73"/>
      <c r="AB1986" s="73"/>
      <c r="AC1986" s="73"/>
      <c r="AD1986" s="74"/>
      <c r="AE1986" s="79"/>
      <c r="AF1986" s="80"/>
      <c r="AG1986" s="81"/>
      <c r="AH1986" s="89"/>
      <c r="AI1986" s="118"/>
      <c r="AJ1986" s="73"/>
      <c r="AK1986" s="119"/>
      <c r="AL1986" s="120"/>
      <c r="AM1986" s="121"/>
      <c r="AN1986" s="152"/>
      <c r="AO1986" s="152"/>
      <c r="AP1986" s="152"/>
      <c r="AQ1986" s="105"/>
      <c r="AR1986" s="106"/>
      <c r="AS1986" s="107"/>
      <c r="AT1986" s="108"/>
      <c r="AU1986" s="89"/>
      <c r="AV1986" s="158"/>
      <c r="AW1986" s="152"/>
      <c r="AX1986" s="122"/>
      <c r="AY1986" s="120"/>
      <c r="AZ1986" s="121"/>
    </row>
    <row r="1987" spans="1:52">
      <c r="A1987" s="73"/>
      <c r="B1987" s="73"/>
      <c r="C1987" s="73"/>
      <c r="D1987" s="74"/>
      <c r="E1987" s="79"/>
      <c r="F1987" s="80"/>
      <c r="G1987" s="81"/>
      <c r="H1987" s="78"/>
      <c r="I1987" s="118"/>
      <c r="J1987" s="73"/>
      <c r="K1987" s="122"/>
      <c r="L1987" s="120"/>
      <c r="M1987" s="121"/>
      <c r="N1987" s="73"/>
      <c r="O1987" s="73"/>
      <c r="P1987" s="73"/>
      <c r="Q1987" s="74"/>
      <c r="R1987" s="79"/>
      <c r="S1987" s="80"/>
      <c r="T1987" s="81"/>
      <c r="U1987" s="89"/>
      <c r="V1987" s="118"/>
      <c r="W1987" s="73"/>
      <c r="X1987" s="119"/>
      <c r="Y1987" s="281"/>
      <c r="Z1987" s="183"/>
      <c r="AA1987" s="73"/>
      <c r="AB1987" s="73"/>
      <c r="AC1987" s="73"/>
      <c r="AD1987" s="74"/>
      <c r="AE1987" s="79"/>
      <c r="AF1987" s="80"/>
      <c r="AG1987" s="81"/>
      <c r="AH1987" s="89"/>
      <c r="AI1987" s="118"/>
      <c r="AJ1987" s="73"/>
      <c r="AK1987" s="119"/>
      <c r="AL1987" s="120"/>
      <c r="AM1987" s="121"/>
      <c r="AN1987" s="152"/>
      <c r="AO1987" s="152"/>
      <c r="AP1987" s="152"/>
      <c r="AQ1987" s="105"/>
      <c r="AR1987" s="106"/>
      <c r="AS1987" s="107"/>
      <c r="AT1987" s="108"/>
      <c r="AU1987" s="89"/>
      <c r="AV1987" s="158"/>
      <c r="AW1987" s="152"/>
      <c r="AX1987" s="122"/>
      <c r="AY1987" s="120"/>
      <c r="AZ1987" s="121"/>
    </row>
    <row r="1988" spans="1:52">
      <c r="A1988" s="73"/>
      <c r="B1988" s="73"/>
      <c r="C1988" s="73"/>
      <c r="D1988" s="74"/>
      <c r="E1988" s="79"/>
      <c r="F1988" s="80"/>
      <c r="G1988" s="81"/>
      <c r="H1988" s="78"/>
      <c r="I1988" s="118"/>
      <c r="J1988" s="73"/>
      <c r="K1988" s="122"/>
      <c r="L1988" s="120"/>
      <c r="M1988" s="121"/>
      <c r="N1988" s="73"/>
      <c r="O1988" s="73"/>
      <c r="P1988" s="73"/>
      <c r="Q1988" s="74"/>
      <c r="R1988" s="79"/>
      <c r="S1988" s="80"/>
      <c r="T1988" s="81"/>
      <c r="U1988" s="89"/>
      <c r="V1988" s="118"/>
      <c r="W1988" s="73"/>
      <c r="X1988" s="119"/>
      <c r="Y1988" s="281"/>
      <c r="Z1988" s="183"/>
      <c r="AA1988" s="73"/>
      <c r="AB1988" s="73"/>
      <c r="AC1988" s="73"/>
      <c r="AD1988" s="74"/>
      <c r="AE1988" s="79"/>
      <c r="AF1988" s="80"/>
      <c r="AG1988" s="81"/>
      <c r="AH1988" s="89"/>
      <c r="AI1988" s="118"/>
      <c r="AJ1988" s="73"/>
      <c r="AK1988" s="119"/>
      <c r="AL1988" s="120"/>
      <c r="AM1988" s="121"/>
      <c r="AN1988" s="152"/>
      <c r="AO1988" s="152"/>
      <c r="AP1988" s="152"/>
      <c r="AQ1988" s="105"/>
      <c r="AR1988" s="106"/>
      <c r="AS1988" s="107"/>
      <c r="AT1988" s="108"/>
      <c r="AU1988" s="89"/>
      <c r="AV1988" s="158"/>
      <c r="AW1988" s="152"/>
      <c r="AX1988" s="122"/>
      <c r="AY1988" s="120"/>
      <c r="AZ1988" s="121"/>
    </row>
    <row r="1989" spans="1:52">
      <c r="A1989" s="73"/>
      <c r="B1989" s="73"/>
      <c r="C1989" s="73"/>
      <c r="D1989" s="74"/>
      <c r="E1989" s="79"/>
      <c r="F1989" s="80"/>
      <c r="G1989" s="81"/>
      <c r="H1989" s="78"/>
      <c r="I1989" s="118"/>
      <c r="J1989" s="73"/>
      <c r="K1989" s="122"/>
      <c r="L1989" s="120"/>
      <c r="M1989" s="121"/>
      <c r="N1989" s="73"/>
      <c r="O1989" s="73"/>
      <c r="P1989" s="73"/>
      <c r="Q1989" s="74"/>
      <c r="R1989" s="79"/>
      <c r="S1989" s="80"/>
      <c r="T1989" s="81"/>
      <c r="U1989" s="89"/>
      <c r="V1989" s="118"/>
      <c r="W1989" s="73"/>
      <c r="X1989" s="119"/>
      <c r="Y1989" s="281"/>
      <c r="Z1989" s="183"/>
      <c r="AA1989" s="73"/>
      <c r="AB1989" s="73"/>
      <c r="AC1989" s="73"/>
      <c r="AD1989" s="74"/>
      <c r="AE1989" s="79"/>
      <c r="AF1989" s="80"/>
      <c r="AG1989" s="81"/>
      <c r="AH1989" s="89"/>
      <c r="AI1989" s="118"/>
      <c r="AJ1989" s="73"/>
      <c r="AK1989" s="119"/>
      <c r="AL1989" s="120"/>
      <c r="AM1989" s="121"/>
      <c r="AN1989" s="152"/>
      <c r="AO1989" s="152"/>
      <c r="AP1989" s="152"/>
      <c r="AQ1989" s="105"/>
      <c r="AR1989" s="106"/>
      <c r="AS1989" s="107"/>
      <c r="AT1989" s="108"/>
      <c r="AU1989" s="89"/>
      <c r="AV1989" s="158"/>
      <c r="AW1989" s="152"/>
      <c r="AX1989" s="122"/>
      <c r="AY1989" s="120"/>
      <c r="AZ1989" s="121"/>
    </row>
  </sheetData>
  <autoFilter ref="A2:AZ1132">
    <extLst/>
  </autoFilter>
  <mergeCells count="749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R1064:T1064"/>
    <mergeCell ref="AE1064:AG1064"/>
    <mergeCell ref="AR1064:AT1064"/>
    <mergeCell ref="E1065:G1065"/>
    <mergeCell ref="R1065:T1065"/>
    <mergeCell ref="AE1065:AG1065"/>
    <mergeCell ref="AR1065:AT1065"/>
    <mergeCell ref="E1066:G1066"/>
    <mergeCell ref="R1066:T1066"/>
    <mergeCell ref="AE1066:AG1066"/>
    <mergeCell ref="AR1066:AT1066"/>
    <mergeCell ref="E1067:G1067"/>
    <mergeCell ref="R1067:T1067"/>
    <mergeCell ref="AE1067:AG1067"/>
    <mergeCell ref="AR1067:AT1067"/>
    <mergeCell ref="E1068:G1068"/>
    <mergeCell ref="E1069:G1069"/>
    <mergeCell ref="E1070:G1070"/>
    <mergeCell ref="R1070:T1070"/>
    <mergeCell ref="E1071:G1071"/>
    <mergeCell ref="R1071:T1071"/>
    <mergeCell ref="E1072:G1072"/>
    <mergeCell ref="R1072:T1072"/>
    <mergeCell ref="E1073:G1073"/>
    <mergeCell ref="R1073:T1073"/>
    <mergeCell ref="AE1073:AG1073"/>
    <mergeCell ref="E1074:G1074"/>
    <mergeCell ref="E1075:G1075"/>
    <mergeCell ref="E1076:G1076"/>
    <mergeCell ref="E1077:G1077"/>
    <mergeCell ref="R1077:T1077"/>
    <mergeCell ref="E1078:G1078"/>
    <mergeCell ref="E1079:G1079"/>
    <mergeCell ref="E1080:G1080"/>
    <mergeCell ref="R1080:T1080"/>
    <mergeCell ref="E1081:G1081"/>
    <mergeCell ref="R1081:T1081"/>
    <mergeCell ref="E1082:G1082"/>
    <mergeCell ref="R1082:T1082"/>
    <mergeCell ref="E1083:G1083"/>
    <mergeCell ref="E1084:G1084"/>
    <mergeCell ref="R1084:T1084"/>
    <mergeCell ref="E1085:G1085"/>
    <mergeCell ref="R1085:T1085"/>
    <mergeCell ref="E1086:G1086"/>
    <mergeCell ref="E1087:G1087"/>
    <mergeCell ref="R1087:T1087"/>
    <mergeCell ref="E1088:G1088"/>
    <mergeCell ref="R1088:T1088"/>
    <mergeCell ref="E1089:G1089"/>
    <mergeCell ref="R1089:T1089"/>
    <mergeCell ref="AE1089:AG1089"/>
    <mergeCell ref="E1090:G1090"/>
    <mergeCell ref="R1090:T1090"/>
    <mergeCell ref="E1091:G1091"/>
    <mergeCell ref="E1092:G1092"/>
    <mergeCell ref="R1092:T1092"/>
    <mergeCell ref="E1093:G1093"/>
    <mergeCell ref="R1093:T1093"/>
    <mergeCell ref="E1094:G1094"/>
    <mergeCell ref="R1094:T1094"/>
    <mergeCell ref="E1095:G1095"/>
    <mergeCell ref="R1095:T1095"/>
    <mergeCell ref="E1096:G1096"/>
    <mergeCell ref="R1096:T1096"/>
    <mergeCell ref="AE1096:AG1096"/>
    <mergeCell ref="E1097:G1097"/>
    <mergeCell ref="E1098:G1098"/>
    <mergeCell ref="R1098:T1098"/>
    <mergeCell ref="E1099:G1099"/>
    <mergeCell ref="E1100:G1100"/>
    <mergeCell ref="E1101:G1101"/>
    <mergeCell ref="E1102:G1102"/>
    <mergeCell ref="R1102:T1102"/>
    <mergeCell ref="AE1102:AG1102"/>
    <mergeCell ref="AR1102:AT1102"/>
    <mergeCell ref="E1103:G1103"/>
    <mergeCell ref="R1103:T1103"/>
    <mergeCell ref="E1104:G1104"/>
    <mergeCell ref="E1105:G1105"/>
    <mergeCell ref="R1105:T1105"/>
    <mergeCell ref="AE1105:AG1105"/>
    <mergeCell ref="AR1105:AT1105"/>
    <mergeCell ref="E1106:G1106"/>
    <mergeCell ref="R1106:T1106"/>
    <mergeCell ref="AE1106:AG1106"/>
    <mergeCell ref="AR1106:AT1106"/>
    <mergeCell ref="E1107:G1107"/>
    <mergeCell ref="R1107:T1107"/>
    <mergeCell ref="AE1107:AG1107"/>
    <mergeCell ref="AR1107:AT1107"/>
    <mergeCell ref="E1108:G1108"/>
    <mergeCell ref="E1110:G1110"/>
    <mergeCell ref="R1110:T1110"/>
    <mergeCell ref="AE1110:AG1110"/>
    <mergeCell ref="AR1110:AT1110"/>
    <mergeCell ref="E1111:G1111"/>
    <mergeCell ref="E1112:G1112"/>
    <mergeCell ref="E1113:G1113"/>
    <mergeCell ref="E1114:G1114"/>
    <mergeCell ref="E1115:G1115"/>
    <mergeCell ref="E1116:G1116"/>
    <mergeCell ref="R1116:T1116"/>
    <mergeCell ref="E1117:G1117"/>
    <mergeCell ref="R1117:T1117"/>
    <mergeCell ref="E1118:G1118"/>
    <mergeCell ref="E1119:G1119"/>
    <mergeCell ref="R1119:T1119"/>
    <mergeCell ref="E1120:G1120"/>
    <mergeCell ref="E1121:G1121"/>
    <mergeCell ref="E1122:G1122"/>
    <mergeCell ref="R1122:T1122"/>
    <mergeCell ref="AE1122:AG1122"/>
    <mergeCell ref="E1123:G1123"/>
    <mergeCell ref="E1124:G1124"/>
    <mergeCell ref="E1125:G1125"/>
    <mergeCell ref="E1126:G1126"/>
    <mergeCell ref="E1127:G1127"/>
    <mergeCell ref="E1128:G1128"/>
    <mergeCell ref="E1129:G1129"/>
    <mergeCell ref="R1129:T1129"/>
    <mergeCell ref="AE1129:AG1129"/>
    <mergeCell ref="E1130:G1130"/>
    <mergeCell ref="E1131:G1131"/>
    <mergeCell ref="E1132:G1132"/>
    <mergeCell ref="R1132:T1132"/>
    <mergeCell ref="E1133:G1133"/>
    <mergeCell ref="E1134:G1134"/>
    <mergeCell ref="E1135:G1135"/>
    <mergeCell ref="E1136:G1136"/>
    <mergeCell ref="E1137:G1137"/>
    <mergeCell ref="E1138:G1138"/>
    <mergeCell ref="E1139:G1139"/>
    <mergeCell ref="R1139:T1139"/>
    <mergeCell ref="E1140:G1140"/>
    <mergeCell ref="E1141:G1141"/>
    <mergeCell ref="E1142:G1142"/>
    <mergeCell ref="E1143:G1143"/>
    <mergeCell ref="E1144:G1144"/>
    <mergeCell ref="E1145:G1145"/>
    <mergeCell ref="E1146:G1146"/>
    <mergeCell ref="E1147:G1147"/>
    <mergeCell ref="E1148:G1148"/>
    <mergeCell ref="E1149:G1149"/>
    <mergeCell ref="R1149:T1149"/>
    <mergeCell ref="E1150:G1150"/>
    <mergeCell ref="E1151:G1151"/>
    <mergeCell ref="E1152:G1152"/>
    <mergeCell ref="E1153:G1153"/>
    <mergeCell ref="E1154:G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E1158:G1158"/>
    <mergeCell ref="R1158: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E1161:G1161"/>
    <mergeCell ref="R1161:T1161"/>
    <mergeCell ref="AE1161:AG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E1656:G1656"/>
    <mergeCell ref="E1657:G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</mergeCells>
  <conditionalFormatting sqref="M3">
    <cfRule type="cellIs" dxfId="0" priority="1155" operator="lessThan">
      <formula>30</formula>
    </cfRule>
  </conditionalFormatting>
  <conditionalFormatting sqref="M4">
    <cfRule type="cellIs" dxfId="0" priority="1132" operator="lessThan">
      <formula>30</formula>
    </cfRule>
  </conditionalFormatting>
  <conditionalFormatting sqref="M5">
    <cfRule type="cellIs" dxfId="0" priority="1131" operator="lessThan">
      <formula>30</formula>
    </cfRule>
  </conditionalFormatting>
  <conditionalFormatting sqref="M6">
    <cfRule type="cellIs" dxfId="0" priority="1130" operator="lessThan">
      <formula>30</formula>
    </cfRule>
  </conditionalFormatting>
  <conditionalFormatting sqref="M7">
    <cfRule type="cellIs" dxfId="0" priority="1129" operator="lessThan">
      <formula>30</formula>
    </cfRule>
  </conditionalFormatting>
  <conditionalFormatting sqref="M8">
    <cfRule type="cellIs" dxfId="0" priority="1128" operator="lessThan">
      <formula>30</formula>
    </cfRule>
  </conditionalFormatting>
  <conditionalFormatting sqref="M9">
    <cfRule type="cellIs" dxfId="0" priority="1127" operator="lessThan">
      <formula>30</formula>
    </cfRule>
  </conditionalFormatting>
  <conditionalFormatting sqref="M10">
    <cfRule type="cellIs" dxfId="0" priority="1126" operator="lessThan">
      <formula>30</formula>
    </cfRule>
  </conditionalFormatting>
  <conditionalFormatting sqref="M11">
    <cfRule type="cellIs" dxfId="0" priority="1125" operator="lessThan">
      <formula>30</formula>
    </cfRule>
  </conditionalFormatting>
  <conditionalFormatting sqref="M12">
    <cfRule type="cellIs" dxfId="0" priority="1124" operator="lessThan">
      <formula>30</formula>
    </cfRule>
  </conditionalFormatting>
  <conditionalFormatting sqref="M13">
    <cfRule type="cellIs" dxfId="0" priority="1123" operator="lessThan">
      <formula>30</formula>
    </cfRule>
  </conditionalFormatting>
  <conditionalFormatting sqref="M14">
    <cfRule type="cellIs" dxfId="0" priority="1122" operator="lessThan">
      <formula>30</formula>
    </cfRule>
  </conditionalFormatting>
  <conditionalFormatting sqref="M15">
    <cfRule type="cellIs" dxfId="0" priority="1121" operator="lessThan">
      <formula>30</formula>
    </cfRule>
  </conditionalFormatting>
  <conditionalFormatting sqref="M16">
    <cfRule type="cellIs" dxfId="0" priority="1120" operator="lessThan">
      <formula>30</formula>
    </cfRule>
  </conditionalFormatting>
  <conditionalFormatting sqref="M17">
    <cfRule type="cellIs" dxfId="0" priority="1119" operator="lessThan">
      <formula>30</formula>
    </cfRule>
  </conditionalFormatting>
  <conditionalFormatting sqref="M18">
    <cfRule type="cellIs" dxfId="0" priority="1118" operator="lessThan">
      <formula>30</formula>
    </cfRule>
  </conditionalFormatting>
  <conditionalFormatting sqref="M19">
    <cfRule type="cellIs" dxfId="0" priority="1117" operator="lessThan">
      <formula>30</formula>
    </cfRule>
  </conditionalFormatting>
  <conditionalFormatting sqref="M20">
    <cfRule type="cellIs" dxfId="0" priority="1116" operator="lessThan">
      <formula>30</formula>
    </cfRule>
  </conditionalFormatting>
  <conditionalFormatting sqref="M21">
    <cfRule type="cellIs" dxfId="0" priority="1115" operator="lessThan">
      <formula>30</formula>
    </cfRule>
  </conditionalFormatting>
  <conditionalFormatting sqref="M22">
    <cfRule type="cellIs" dxfId="0" priority="1114" operator="lessThan">
      <formula>30</formula>
    </cfRule>
  </conditionalFormatting>
  <conditionalFormatting sqref="M23">
    <cfRule type="cellIs" dxfId="0" priority="1113" operator="lessThan">
      <formula>30</formula>
    </cfRule>
  </conditionalFormatting>
  <conditionalFormatting sqref="M24">
    <cfRule type="cellIs" dxfId="0" priority="1112" operator="lessThan">
      <formula>30</formula>
    </cfRule>
  </conditionalFormatting>
  <conditionalFormatting sqref="M25">
    <cfRule type="cellIs" dxfId="0" priority="1111" operator="lessThan">
      <formula>30</formula>
    </cfRule>
  </conditionalFormatting>
  <conditionalFormatting sqref="M26">
    <cfRule type="cellIs" dxfId="0" priority="1110" operator="lessThan">
      <formula>30</formula>
    </cfRule>
  </conditionalFormatting>
  <conditionalFormatting sqref="M27">
    <cfRule type="cellIs" dxfId="0" priority="1109" operator="lessThan">
      <formula>30</formula>
    </cfRule>
  </conditionalFormatting>
  <conditionalFormatting sqref="M28">
    <cfRule type="cellIs" dxfId="0" priority="1108" operator="lessThan">
      <formula>30</formula>
    </cfRule>
  </conditionalFormatting>
  <conditionalFormatting sqref="M29">
    <cfRule type="cellIs" dxfId="0" priority="1107" operator="lessThan">
      <formula>30</formula>
    </cfRule>
  </conditionalFormatting>
  <conditionalFormatting sqref="M30">
    <cfRule type="cellIs" dxfId="0" priority="1106" operator="lessThan">
      <formula>30</formula>
    </cfRule>
  </conditionalFormatting>
  <conditionalFormatting sqref="M31">
    <cfRule type="cellIs" dxfId="0" priority="1105" operator="lessThan">
      <formula>30</formula>
    </cfRule>
  </conditionalFormatting>
  <conditionalFormatting sqref="M32">
    <cfRule type="cellIs" dxfId="0" priority="1104" operator="lessThan">
      <formula>30</formula>
    </cfRule>
  </conditionalFormatting>
  <conditionalFormatting sqref="M33">
    <cfRule type="cellIs" dxfId="0" priority="1103" operator="lessThan">
      <formula>30</formula>
    </cfRule>
  </conditionalFormatting>
  <conditionalFormatting sqref="M34">
    <cfRule type="cellIs" dxfId="0" priority="1102" operator="lessThan">
      <formula>30</formula>
    </cfRule>
  </conditionalFormatting>
  <conditionalFormatting sqref="M35">
    <cfRule type="cellIs" dxfId="0" priority="1101" operator="lessThan">
      <formula>30</formula>
    </cfRule>
  </conditionalFormatting>
  <conditionalFormatting sqref="M36">
    <cfRule type="cellIs" dxfId="0" priority="1100" operator="lessThan">
      <formula>30</formula>
    </cfRule>
  </conditionalFormatting>
  <conditionalFormatting sqref="M37">
    <cfRule type="cellIs" dxfId="0" priority="1099" operator="lessThan">
      <formula>30</formula>
    </cfRule>
  </conditionalFormatting>
  <conditionalFormatting sqref="M38">
    <cfRule type="cellIs" dxfId="0" priority="1098" operator="lessThan">
      <formula>30</formula>
    </cfRule>
  </conditionalFormatting>
  <conditionalFormatting sqref="M39">
    <cfRule type="cellIs" dxfId="0" priority="1097" operator="lessThan">
      <formula>30</formula>
    </cfRule>
  </conditionalFormatting>
  <conditionalFormatting sqref="M40">
    <cfRule type="cellIs" dxfId="0" priority="1096" operator="lessThan">
      <formula>30</formula>
    </cfRule>
  </conditionalFormatting>
  <conditionalFormatting sqref="M41">
    <cfRule type="cellIs" dxfId="0" priority="1095" operator="lessThan">
      <formula>30</formula>
    </cfRule>
  </conditionalFormatting>
  <conditionalFormatting sqref="M42">
    <cfRule type="cellIs" dxfId="0" priority="1094" operator="lessThan">
      <formula>30</formula>
    </cfRule>
  </conditionalFormatting>
  <conditionalFormatting sqref="M43">
    <cfRule type="cellIs" dxfId="0" priority="1093" operator="lessThan">
      <formula>30</formula>
    </cfRule>
  </conditionalFormatting>
  <conditionalFormatting sqref="Z43">
    <cfRule type="cellIs" dxfId="0" priority="1179" operator="lessThan">
      <formula>30</formula>
    </cfRule>
  </conditionalFormatting>
  <conditionalFormatting sqref="M44">
    <cfRule type="cellIs" dxfId="0" priority="1092" operator="lessThan">
      <formula>30</formula>
    </cfRule>
  </conditionalFormatting>
  <conditionalFormatting sqref="Z44">
    <cfRule type="cellIs" dxfId="0" priority="1180" operator="lessThan">
      <formula>30</formula>
    </cfRule>
  </conditionalFormatting>
  <conditionalFormatting sqref="M45">
    <cfRule type="cellIs" dxfId="0" priority="1091" operator="lessThan">
      <formula>30</formula>
    </cfRule>
  </conditionalFormatting>
  <conditionalFormatting sqref="M46">
    <cfRule type="cellIs" dxfId="0" priority="1090" operator="lessThan">
      <formula>30</formula>
    </cfRule>
  </conditionalFormatting>
  <conditionalFormatting sqref="M47">
    <cfRule type="cellIs" dxfId="0" priority="1089" operator="lessThan">
      <formula>30</formula>
    </cfRule>
  </conditionalFormatting>
  <conditionalFormatting sqref="M48">
    <cfRule type="cellIs" dxfId="0" priority="1088" operator="lessThan">
      <formula>30</formula>
    </cfRule>
  </conditionalFormatting>
  <conditionalFormatting sqref="M49">
    <cfRule type="cellIs" dxfId="0" priority="1087" operator="lessThan">
      <formula>30</formula>
    </cfRule>
  </conditionalFormatting>
  <conditionalFormatting sqref="M50">
    <cfRule type="cellIs" dxfId="0" priority="1086" operator="lessThan">
      <formula>30</formula>
    </cfRule>
  </conditionalFormatting>
  <conditionalFormatting sqref="M51">
    <cfRule type="cellIs" dxfId="0" priority="1085" operator="lessThan">
      <formula>30</formula>
    </cfRule>
  </conditionalFormatting>
  <conditionalFormatting sqref="M52">
    <cfRule type="cellIs" dxfId="0" priority="1084" operator="lessThan">
      <formula>30</formula>
    </cfRule>
  </conditionalFormatting>
  <conditionalFormatting sqref="M53">
    <cfRule type="cellIs" dxfId="0" priority="1083" operator="lessThan">
      <formula>30</formula>
    </cfRule>
  </conditionalFormatting>
  <conditionalFormatting sqref="M54">
    <cfRule type="cellIs" dxfId="0" priority="1082" operator="lessThan">
      <formula>30</formula>
    </cfRule>
  </conditionalFormatting>
  <conditionalFormatting sqref="M55">
    <cfRule type="cellIs" dxfId="0" priority="1081" operator="lessThan">
      <formula>30</formula>
    </cfRule>
  </conditionalFormatting>
  <conditionalFormatting sqref="M56">
    <cfRule type="cellIs" dxfId="0" priority="1080" operator="lessThan">
      <formula>30</formula>
    </cfRule>
  </conditionalFormatting>
  <conditionalFormatting sqref="M57">
    <cfRule type="cellIs" dxfId="0" priority="1079" operator="lessThan">
      <formula>30</formula>
    </cfRule>
  </conditionalFormatting>
  <conditionalFormatting sqref="M58">
    <cfRule type="cellIs" dxfId="0" priority="1078" operator="lessThan">
      <formula>30</formula>
    </cfRule>
  </conditionalFormatting>
  <conditionalFormatting sqref="M59">
    <cfRule type="cellIs" dxfId="0" priority="1077" operator="lessThan">
      <formula>30</formula>
    </cfRule>
  </conditionalFormatting>
  <conditionalFormatting sqref="M60">
    <cfRule type="cellIs" dxfId="0" priority="1076" operator="lessThan">
      <formula>30</formula>
    </cfRule>
  </conditionalFormatting>
  <conditionalFormatting sqref="M61">
    <cfRule type="cellIs" dxfId="0" priority="1075" operator="lessThan">
      <formula>30</formula>
    </cfRule>
  </conditionalFormatting>
  <conditionalFormatting sqref="M62">
    <cfRule type="cellIs" dxfId="0" priority="1074" operator="lessThan">
      <formula>30</formula>
    </cfRule>
  </conditionalFormatting>
  <conditionalFormatting sqref="M63">
    <cfRule type="cellIs" dxfId="0" priority="1073" operator="lessThan">
      <formula>30</formula>
    </cfRule>
  </conditionalFormatting>
  <conditionalFormatting sqref="M64">
    <cfRule type="cellIs" dxfId="0" priority="1072" operator="lessThan">
      <formula>30</formula>
    </cfRule>
  </conditionalFormatting>
  <conditionalFormatting sqref="M65">
    <cfRule type="cellIs" dxfId="0" priority="1071" operator="lessThan">
      <formula>30</formula>
    </cfRule>
  </conditionalFormatting>
  <conditionalFormatting sqref="M66">
    <cfRule type="cellIs" dxfId="0" priority="1070" operator="lessThan">
      <formula>30</formula>
    </cfRule>
  </conditionalFormatting>
  <conditionalFormatting sqref="M67">
    <cfRule type="cellIs" dxfId="0" priority="1069" operator="lessThan">
      <formula>30</formula>
    </cfRule>
  </conditionalFormatting>
  <conditionalFormatting sqref="M68">
    <cfRule type="cellIs" dxfId="0" priority="1068" operator="lessThan">
      <formula>30</formula>
    </cfRule>
  </conditionalFormatting>
  <conditionalFormatting sqref="M69">
    <cfRule type="cellIs" dxfId="0" priority="1067" operator="lessThan">
      <formula>30</formula>
    </cfRule>
  </conditionalFormatting>
  <conditionalFormatting sqref="M70">
    <cfRule type="cellIs" dxfId="0" priority="1066" operator="lessThan">
      <formula>30</formula>
    </cfRule>
  </conditionalFormatting>
  <conditionalFormatting sqref="M71">
    <cfRule type="cellIs" dxfId="0" priority="1065" operator="lessThan">
      <formula>30</formula>
    </cfRule>
  </conditionalFormatting>
  <conditionalFormatting sqref="M72">
    <cfRule type="cellIs" dxfId="0" priority="1064" operator="lessThan">
      <formula>30</formula>
    </cfRule>
  </conditionalFormatting>
  <conditionalFormatting sqref="M73">
    <cfRule type="cellIs" dxfId="0" priority="1063" operator="lessThan">
      <formula>30</formula>
    </cfRule>
  </conditionalFormatting>
  <conditionalFormatting sqref="M74">
    <cfRule type="cellIs" dxfId="0" priority="1062" operator="lessThan">
      <formula>30</formula>
    </cfRule>
  </conditionalFormatting>
  <conditionalFormatting sqref="M75">
    <cfRule type="cellIs" dxfId="0" priority="1061" operator="lessThan">
      <formula>30</formula>
    </cfRule>
  </conditionalFormatting>
  <conditionalFormatting sqref="M76">
    <cfRule type="cellIs" dxfId="0" priority="1060" operator="lessThan">
      <formula>30</formula>
    </cfRule>
  </conditionalFormatting>
  <conditionalFormatting sqref="M77">
    <cfRule type="cellIs" dxfId="0" priority="1059" operator="lessThan">
      <formula>30</formula>
    </cfRule>
  </conditionalFormatting>
  <conditionalFormatting sqref="M78">
    <cfRule type="cellIs" dxfId="0" priority="1058" operator="lessThan">
      <formula>30</formula>
    </cfRule>
  </conditionalFormatting>
  <conditionalFormatting sqref="M79">
    <cfRule type="cellIs" dxfId="0" priority="1057" operator="lessThan">
      <formula>30</formula>
    </cfRule>
  </conditionalFormatting>
  <conditionalFormatting sqref="M80">
    <cfRule type="cellIs" dxfId="0" priority="1056" operator="lessThan">
      <formula>30</formula>
    </cfRule>
  </conditionalFormatting>
  <conditionalFormatting sqref="M81">
    <cfRule type="cellIs" dxfId="0" priority="1055" operator="lessThan">
      <formula>30</formula>
    </cfRule>
  </conditionalFormatting>
  <conditionalFormatting sqref="M82">
    <cfRule type="cellIs" dxfId="0" priority="1054" operator="lessThan">
      <formula>30</formula>
    </cfRule>
  </conditionalFormatting>
  <conditionalFormatting sqref="M83">
    <cfRule type="cellIs" dxfId="0" priority="1053" operator="lessThan">
      <formula>30</formula>
    </cfRule>
  </conditionalFormatting>
  <conditionalFormatting sqref="M84">
    <cfRule type="cellIs" dxfId="0" priority="1052" operator="lessThan">
      <formula>30</formula>
    </cfRule>
  </conditionalFormatting>
  <conditionalFormatting sqref="M85">
    <cfRule type="cellIs" dxfId="0" priority="1051" operator="lessThan">
      <formula>30</formula>
    </cfRule>
  </conditionalFormatting>
  <conditionalFormatting sqref="M86">
    <cfRule type="cellIs" dxfId="0" priority="1050" operator="lessThan">
      <formula>30</formula>
    </cfRule>
  </conditionalFormatting>
  <conditionalFormatting sqref="M87">
    <cfRule type="cellIs" dxfId="0" priority="1049" operator="lessThan">
      <formula>30</formula>
    </cfRule>
  </conditionalFormatting>
  <conditionalFormatting sqref="M88">
    <cfRule type="cellIs" dxfId="0" priority="1048" operator="lessThan">
      <formula>30</formula>
    </cfRule>
  </conditionalFormatting>
  <conditionalFormatting sqref="M89">
    <cfRule type="cellIs" dxfId="0" priority="1047" operator="lessThan">
      <formula>30</formula>
    </cfRule>
  </conditionalFormatting>
  <conditionalFormatting sqref="M90">
    <cfRule type="cellIs" dxfId="0" priority="1046" operator="lessThan">
      <formula>30</formula>
    </cfRule>
  </conditionalFormatting>
  <conditionalFormatting sqref="M91">
    <cfRule type="cellIs" dxfId="0" priority="1045" operator="lessThan">
      <formula>30</formula>
    </cfRule>
  </conditionalFormatting>
  <conditionalFormatting sqref="M92">
    <cfRule type="cellIs" dxfId="0" priority="1044" operator="lessThan">
      <formula>30</formula>
    </cfRule>
  </conditionalFormatting>
  <conditionalFormatting sqref="M93">
    <cfRule type="cellIs" dxfId="0" priority="1043" operator="lessThan">
      <formula>30</formula>
    </cfRule>
  </conditionalFormatting>
  <conditionalFormatting sqref="M94">
    <cfRule type="cellIs" dxfId="0" priority="1042" operator="lessThan">
      <formula>30</formula>
    </cfRule>
  </conditionalFormatting>
  <conditionalFormatting sqref="M95">
    <cfRule type="cellIs" dxfId="0" priority="1041" operator="lessThan">
      <formula>30</formula>
    </cfRule>
  </conditionalFormatting>
  <conditionalFormatting sqref="M96">
    <cfRule type="cellIs" dxfId="0" priority="1040" operator="lessThan">
      <formula>30</formula>
    </cfRule>
  </conditionalFormatting>
  <conditionalFormatting sqref="M97">
    <cfRule type="cellIs" dxfId="0" priority="1039" operator="lessThan">
      <formula>30</formula>
    </cfRule>
  </conditionalFormatting>
  <conditionalFormatting sqref="M98">
    <cfRule type="cellIs" dxfId="0" priority="1038" operator="lessThan">
      <formula>30</formula>
    </cfRule>
  </conditionalFormatting>
  <conditionalFormatting sqref="M99">
    <cfRule type="cellIs" dxfId="0" priority="1037" operator="lessThan">
      <formula>30</formula>
    </cfRule>
  </conditionalFormatting>
  <conditionalFormatting sqref="M100">
    <cfRule type="cellIs" dxfId="0" priority="1036" operator="lessThan">
      <formula>30</formula>
    </cfRule>
  </conditionalFormatting>
  <conditionalFormatting sqref="M101">
    <cfRule type="cellIs" dxfId="0" priority="1035" operator="lessThan">
      <formula>30</formula>
    </cfRule>
  </conditionalFormatting>
  <conditionalFormatting sqref="M102">
    <cfRule type="cellIs" dxfId="0" priority="1034" operator="lessThan">
      <formula>30</formula>
    </cfRule>
  </conditionalFormatting>
  <conditionalFormatting sqref="M103">
    <cfRule type="cellIs" dxfId="0" priority="1033" operator="lessThan">
      <formula>30</formula>
    </cfRule>
  </conditionalFormatting>
  <conditionalFormatting sqref="M104">
    <cfRule type="cellIs" dxfId="0" priority="1032" operator="lessThan">
      <formula>30</formula>
    </cfRule>
  </conditionalFormatting>
  <conditionalFormatting sqref="M105">
    <cfRule type="cellIs" dxfId="0" priority="1031" operator="lessThan">
      <formula>30</formula>
    </cfRule>
  </conditionalFormatting>
  <conditionalFormatting sqref="M106">
    <cfRule type="cellIs" dxfId="0" priority="1030" operator="lessThan">
      <formula>30</formula>
    </cfRule>
  </conditionalFormatting>
  <conditionalFormatting sqref="M107">
    <cfRule type="cellIs" dxfId="0" priority="1029" operator="lessThan">
      <formula>30</formula>
    </cfRule>
  </conditionalFormatting>
  <conditionalFormatting sqref="M108">
    <cfRule type="cellIs" dxfId="0" priority="1028" operator="lessThan">
      <formula>30</formula>
    </cfRule>
  </conditionalFormatting>
  <conditionalFormatting sqref="M109">
    <cfRule type="cellIs" dxfId="0" priority="1027" operator="lessThan">
      <formula>30</formula>
    </cfRule>
  </conditionalFormatting>
  <conditionalFormatting sqref="M110">
    <cfRule type="cellIs" dxfId="0" priority="1026" operator="lessThan">
      <formula>30</formula>
    </cfRule>
  </conditionalFormatting>
  <conditionalFormatting sqref="M111">
    <cfRule type="cellIs" dxfId="0" priority="1025" operator="lessThan">
      <formula>30</formula>
    </cfRule>
  </conditionalFormatting>
  <conditionalFormatting sqref="M112">
    <cfRule type="cellIs" dxfId="0" priority="1024" operator="lessThan">
      <formula>30</formula>
    </cfRule>
  </conditionalFormatting>
  <conditionalFormatting sqref="M113">
    <cfRule type="cellIs" dxfId="0" priority="1023" operator="lessThan">
      <formula>30</formula>
    </cfRule>
  </conditionalFormatting>
  <conditionalFormatting sqref="M114">
    <cfRule type="cellIs" dxfId="0" priority="1022" operator="lessThan">
      <formula>30</formula>
    </cfRule>
  </conditionalFormatting>
  <conditionalFormatting sqref="M115">
    <cfRule type="cellIs" dxfId="0" priority="1021" operator="lessThan">
      <formula>30</formula>
    </cfRule>
  </conditionalFormatting>
  <conditionalFormatting sqref="M116">
    <cfRule type="cellIs" dxfId="0" priority="1020" operator="lessThan">
      <formula>30</formula>
    </cfRule>
  </conditionalFormatting>
  <conditionalFormatting sqref="M117">
    <cfRule type="cellIs" dxfId="0" priority="1019" operator="lessThan">
      <formula>30</formula>
    </cfRule>
  </conditionalFormatting>
  <conditionalFormatting sqref="M118">
    <cfRule type="cellIs" dxfId="0" priority="1018" operator="lessThan">
      <formula>30</formula>
    </cfRule>
  </conditionalFormatting>
  <conditionalFormatting sqref="M119">
    <cfRule type="cellIs" dxfId="0" priority="1017" operator="lessThan">
      <formula>30</formula>
    </cfRule>
  </conditionalFormatting>
  <conditionalFormatting sqref="M120">
    <cfRule type="cellIs" dxfId="0" priority="1016" operator="lessThan">
      <formula>30</formula>
    </cfRule>
  </conditionalFormatting>
  <conditionalFormatting sqref="M121">
    <cfRule type="cellIs" dxfId="0" priority="1015" operator="lessThan">
      <formula>30</formula>
    </cfRule>
  </conditionalFormatting>
  <conditionalFormatting sqref="M122">
    <cfRule type="cellIs" dxfId="0" priority="1014" operator="lessThan">
      <formula>30</formula>
    </cfRule>
  </conditionalFormatting>
  <conditionalFormatting sqref="M123">
    <cfRule type="cellIs" dxfId="0" priority="1013" operator="lessThan">
      <formula>30</formula>
    </cfRule>
  </conditionalFormatting>
  <conditionalFormatting sqref="M124">
    <cfRule type="cellIs" dxfId="0" priority="1012" operator="lessThan">
      <formula>30</formula>
    </cfRule>
  </conditionalFormatting>
  <conditionalFormatting sqref="M125">
    <cfRule type="cellIs" dxfId="0" priority="1011" operator="lessThan">
      <formula>30</formula>
    </cfRule>
  </conditionalFormatting>
  <conditionalFormatting sqref="M126">
    <cfRule type="cellIs" dxfId="0" priority="1010" operator="lessThan">
      <formula>30</formula>
    </cfRule>
  </conditionalFormatting>
  <conditionalFormatting sqref="M127">
    <cfRule type="cellIs" dxfId="0" priority="1009" operator="lessThan">
      <formula>30</formula>
    </cfRule>
  </conditionalFormatting>
  <conditionalFormatting sqref="M128">
    <cfRule type="cellIs" dxfId="0" priority="1008" operator="lessThan">
      <formula>30</formula>
    </cfRule>
  </conditionalFormatting>
  <conditionalFormatting sqref="M129">
    <cfRule type="cellIs" dxfId="0" priority="1007" operator="lessThan">
      <formula>30</formula>
    </cfRule>
  </conditionalFormatting>
  <conditionalFormatting sqref="M130">
    <cfRule type="cellIs" dxfId="0" priority="1006" operator="lessThan">
      <formula>30</formula>
    </cfRule>
  </conditionalFormatting>
  <conditionalFormatting sqref="M131">
    <cfRule type="cellIs" dxfId="0" priority="1005" operator="lessThan">
      <formula>30</formula>
    </cfRule>
  </conditionalFormatting>
  <conditionalFormatting sqref="M132">
    <cfRule type="cellIs" dxfId="0" priority="1004" operator="lessThan">
      <formula>30</formula>
    </cfRule>
  </conditionalFormatting>
  <conditionalFormatting sqref="M133">
    <cfRule type="cellIs" dxfId="0" priority="1003" operator="lessThan">
      <formula>30</formula>
    </cfRule>
  </conditionalFormatting>
  <conditionalFormatting sqref="M134">
    <cfRule type="cellIs" dxfId="0" priority="1002" operator="lessThan">
      <formula>30</formula>
    </cfRule>
  </conditionalFormatting>
  <conditionalFormatting sqref="M135">
    <cfRule type="cellIs" dxfId="0" priority="1001" operator="lessThan">
      <formula>30</formula>
    </cfRule>
  </conditionalFormatting>
  <conditionalFormatting sqref="M136">
    <cfRule type="cellIs" dxfId="0" priority="1000" operator="lessThan">
      <formula>30</formula>
    </cfRule>
  </conditionalFormatting>
  <conditionalFormatting sqref="M137">
    <cfRule type="cellIs" dxfId="0" priority="999" operator="lessThan">
      <formula>30</formula>
    </cfRule>
  </conditionalFormatting>
  <conditionalFormatting sqref="M138">
    <cfRule type="cellIs" dxfId="0" priority="998" operator="lessThan">
      <formula>30</formula>
    </cfRule>
  </conditionalFormatting>
  <conditionalFormatting sqref="M139">
    <cfRule type="cellIs" dxfId="0" priority="997" operator="lessThan">
      <formula>30</formula>
    </cfRule>
  </conditionalFormatting>
  <conditionalFormatting sqref="M140">
    <cfRule type="cellIs" dxfId="0" priority="996" operator="lessThan">
      <formula>30</formula>
    </cfRule>
  </conditionalFormatting>
  <conditionalFormatting sqref="M141">
    <cfRule type="cellIs" dxfId="0" priority="995" operator="lessThan">
      <formula>30</formula>
    </cfRule>
  </conditionalFormatting>
  <conditionalFormatting sqref="M142">
    <cfRule type="cellIs" dxfId="0" priority="994" operator="lessThan">
      <formula>30</formula>
    </cfRule>
  </conditionalFormatting>
  <conditionalFormatting sqref="M143">
    <cfRule type="cellIs" dxfId="0" priority="993" operator="lessThan">
      <formula>30</formula>
    </cfRule>
  </conditionalFormatting>
  <conditionalFormatting sqref="M144">
    <cfRule type="cellIs" dxfId="0" priority="992" operator="lessThan">
      <formula>30</formula>
    </cfRule>
  </conditionalFormatting>
  <conditionalFormatting sqref="M145">
    <cfRule type="cellIs" dxfId="0" priority="991" operator="lessThan">
      <formula>30</formula>
    </cfRule>
  </conditionalFormatting>
  <conditionalFormatting sqref="M146">
    <cfRule type="cellIs" dxfId="0" priority="990" operator="lessThan">
      <formula>30</formula>
    </cfRule>
  </conditionalFormatting>
  <conditionalFormatting sqref="M147">
    <cfRule type="cellIs" dxfId="0" priority="989" operator="lessThan">
      <formula>30</formula>
    </cfRule>
  </conditionalFormatting>
  <conditionalFormatting sqref="M148">
    <cfRule type="cellIs" dxfId="0" priority="988" operator="lessThan">
      <formula>30</formula>
    </cfRule>
  </conditionalFormatting>
  <conditionalFormatting sqref="M149">
    <cfRule type="cellIs" dxfId="0" priority="987" operator="lessThan">
      <formula>30</formula>
    </cfRule>
  </conditionalFormatting>
  <conditionalFormatting sqref="M150">
    <cfRule type="cellIs" dxfId="0" priority="986" operator="lessThan">
      <formula>30</formula>
    </cfRule>
  </conditionalFormatting>
  <conditionalFormatting sqref="M151">
    <cfRule type="cellIs" dxfId="0" priority="985" operator="lessThan">
      <formula>30</formula>
    </cfRule>
  </conditionalFormatting>
  <conditionalFormatting sqref="M152">
    <cfRule type="cellIs" dxfId="0" priority="984" operator="lessThan">
      <formula>30</formula>
    </cfRule>
  </conditionalFormatting>
  <conditionalFormatting sqref="M153">
    <cfRule type="cellIs" dxfId="0" priority="983" operator="lessThan">
      <formula>30</formula>
    </cfRule>
  </conditionalFormatting>
  <conditionalFormatting sqref="M154">
    <cfRule type="cellIs" dxfId="0" priority="982" operator="lessThan">
      <formula>30</formula>
    </cfRule>
  </conditionalFormatting>
  <conditionalFormatting sqref="M155">
    <cfRule type="cellIs" dxfId="0" priority="981" operator="lessThan">
      <formula>30</formula>
    </cfRule>
  </conditionalFormatting>
  <conditionalFormatting sqref="M156">
    <cfRule type="cellIs" dxfId="0" priority="980" operator="lessThan">
      <formula>30</formula>
    </cfRule>
  </conditionalFormatting>
  <conditionalFormatting sqref="M157">
    <cfRule type="cellIs" dxfId="0" priority="979" operator="lessThan">
      <formula>30</formula>
    </cfRule>
  </conditionalFormatting>
  <conditionalFormatting sqref="M158">
    <cfRule type="cellIs" dxfId="0" priority="978" operator="lessThan">
      <formula>30</formula>
    </cfRule>
  </conditionalFormatting>
  <conditionalFormatting sqref="M159">
    <cfRule type="cellIs" dxfId="0" priority="977" operator="lessThan">
      <formula>30</formula>
    </cfRule>
  </conditionalFormatting>
  <conditionalFormatting sqref="M160">
    <cfRule type="cellIs" dxfId="0" priority="976" operator="lessThan">
      <formula>30</formula>
    </cfRule>
  </conditionalFormatting>
  <conditionalFormatting sqref="M161">
    <cfRule type="cellIs" dxfId="0" priority="975" operator="lessThan">
      <formula>30</formula>
    </cfRule>
  </conditionalFormatting>
  <conditionalFormatting sqref="M162">
    <cfRule type="cellIs" dxfId="0" priority="974" operator="lessThan">
      <formula>30</formula>
    </cfRule>
  </conditionalFormatting>
  <conditionalFormatting sqref="M163">
    <cfRule type="cellIs" dxfId="0" priority="973" operator="lessThan">
      <formula>30</formula>
    </cfRule>
  </conditionalFormatting>
  <conditionalFormatting sqref="M164">
    <cfRule type="cellIs" dxfId="0" priority="972" operator="lessThan">
      <formula>30</formula>
    </cfRule>
  </conditionalFormatting>
  <conditionalFormatting sqref="M165">
    <cfRule type="cellIs" dxfId="0" priority="971" operator="lessThan">
      <formula>30</formula>
    </cfRule>
  </conditionalFormatting>
  <conditionalFormatting sqref="M166">
    <cfRule type="cellIs" dxfId="0" priority="970" operator="lessThan">
      <formula>30</formula>
    </cfRule>
  </conditionalFormatting>
  <conditionalFormatting sqref="M167">
    <cfRule type="cellIs" dxfId="0" priority="969" operator="lessThan">
      <formula>30</formula>
    </cfRule>
  </conditionalFormatting>
  <conditionalFormatting sqref="M168">
    <cfRule type="cellIs" dxfId="0" priority="964" operator="lessThan">
      <formula>30</formula>
    </cfRule>
  </conditionalFormatting>
  <conditionalFormatting sqref="M169">
    <cfRule type="cellIs" dxfId="0" priority="963" operator="lessThan">
      <formula>30</formula>
    </cfRule>
  </conditionalFormatting>
  <conditionalFormatting sqref="M170">
    <cfRule type="cellIs" dxfId="0" priority="962" operator="lessThan">
      <formula>30</formula>
    </cfRule>
  </conditionalFormatting>
  <conditionalFormatting sqref="M171">
    <cfRule type="cellIs" dxfId="0" priority="961" operator="lessThan">
      <formula>30</formula>
    </cfRule>
  </conditionalFormatting>
  <conditionalFormatting sqref="M172">
    <cfRule type="cellIs" dxfId="0" priority="960" operator="lessThan">
      <formula>30</formula>
    </cfRule>
  </conditionalFormatting>
  <conditionalFormatting sqref="M173">
    <cfRule type="cellIs" dxfId="0" priority="959" operator="lessThan">
      <formula>30</formula>
    </cfRule>
  </conditionalFormatting>
  <conditionalFormatting sqref="M174">
    <cfRule type="cellIs" dxfId="0" priority="958" operator="lessThan">
      <formula>30</formula>
    </cfRule>
  </conditionalFormatting>
  <conditionalFormatting sqref="M175">
    <cfRule type="cellIs" dxfId="0" priority="957" operator="lessThan">
      <formula>30</formula>
    </cfRule>
  </conditionalFormatting>
  <conditionalFormatting sqref="M176">
    <cfRule type="cellIs" dxfId="0" priority="956" operator="lessThan">
      <formula>30</formula>
    </cfRule>
  </conditionalFormatting>
  <conditionalFormatting sqref="M177">
    <cfRule type="cellIs" dxfId="0" priority="955" operator="lessThan">
      <formula>30</formula>
    </cfRule>
  </conditionalFormatting>
  <conditionalFormatting sqref="M178">
    <cfRule type="cellIs" dxfId="0" priority="954" operator="lessThan">
      <formula>30</formula>
    </cfRule>
  </conditionalFormatting>
  <conditionalFormatting sqref="M179">
    <cfRule type="cellIs" dxfId="0" priority="953" operator="lessThan">
      <formula>30</formula>
    </cfRule>
  </conditionalFormatting>
  <conditionalFormatting sqref="M180">
    <cfRule type="cellIs" dxfId="0" priority="952" operator="lessThan">
      <formula>30</formula>
    </cfRule>
  </conditionalFormatting>
  <conditionalFormatting sqref="M181">
    <cfRule type="cellIs" dxfId="0" priority="951" operator="lessThan">
      <formula>30</formula>
    </cfRule>
  </conditionalFormatting>
  <conditionalFormatting sqref="M182">
    <cfRule type="cellIs" dxfId="0" priority="950" operator="lessThan">
      <formula>30</formula>
    </cfRule>
  </conditionalFormatting>
  <conditionalFormatting sqref="M183">
    <cfRule type="cellIs" dxfId="0" priority="949" operator="lessThan">
      <formula>30</formula>
    </cfRule>
  </conditionalFormatting>
  <conditionalFormatting sqref="M184">
    <cfRule type="cellIs" dxfId="0" priority="948" operator="lessThan">
      <formula>30</formula>
    </cfRule>
  </conditionalFormatting>
  <conditionalFormatting sqref="M185">
    <cfRule type="cellIs" dxfId="0" priority="947" operator="lessThan">
      <formula>30</formula>
    </cfRule>
  </conditionalFormatting>
  <conditionalFormatting sqref="M186">
    <cfRule type="cellIs" dxfId="0" priority="946" operator="lessThan">
      <formula>30</formula>
    </cfRule>
  </conditionalFormatting>
  <conditionalFormatting sqref="M187">
    <cfRule type="cellIs" dxfId="0" priority="945" operator="lessThan">
      <formula>30</formula>
    </cfRule>
  </conditionalFormatting>
  <conditionalFormatting sqref="M188">
    <cfRule type="cellIs" dxfId="0" priority="944" operator="lessThan">
      <formula>30</formula>
    </cfRule>
  </conditionalFormatting>
  <conditionalFormatting sqref="M189">
    <cfRule type="cellIs" dxfId="0" priority="943" operator="lessThan">
      <formula>30</formula>
    </cfRule>
  </conditionalFormatting>
  <conditionalFormatting sqref="M190">
    <cfRule type="cellIs" dxfId="0" priority="942" operator="lessThan">
      <formula>30</formula>
    </cfRule>
  </conditionalFormatting>
  <conditionalFormatting sqref="M191">
    <cfRule type="cellIs" dxfId="0" priority="941" operator="lessThan">
      <formula>30</formula>
    </cfRule>
  </conditionalFormatting>
  <conditionalFormatting sqref="M192">
    <cfRule type="cellIs" dxfId="0" priority="940" operator="lessThan">
      <formula>30</formula>
    </cfRule>
  </conditionalFormatting>
  <conditionalFormatting sqref="M193">
    <cfRule type="cellIs" dxfId="0" priority="939" operator="lessThan">
      <formula>30</formula>
    </cfRule>
  </conditionalFormatting>
  <conditionalFormatting sqref="M194">
    <cfRule type="cellIs" dxfId="0" priority="938" operator="lessThan">
      <formula>30</formula>
    </cfRule>
  </conditionalFormatting>
  <conditionalFormatting sqref="M195">
    <cfRule type="cellIs" dxfId="0" priority="937" operator="lessThan">
      <formula>30</formula>
    </cfRule>
  </conditionalFormatting>
  <conditionalFormatting sqref="M196">
    <cfRule type="cellIs" dxfId="0" priority="936" operator="lessThan">
      <formula>30</formula>
    </cfRule>
  </conditionalFormatting>
  <conditionalFormatting sqref="M197">
    <cfRule type="cellIs" dxfId="0" priority="935" operator="lessThan">
      <formula>30</formula>
    </cfRule>
  </conditionalFormatting>
  <conditionalFormatting sqref="M198">
    <cfRule type="cellIs" dxfId="0" priority="934" operator="lessThan">
      <formula>30</formula>
    </cfRule>
  </conditionalFormatting>
  <conditionalFormatting sqref="M199">
    <cfRule type="cellIs" dxfId="0" priority="933" operator="lessThan">
      <formula>30</formula>
    </cfRule>
  </conditionalFormatting>
  <conditionalFormatting sqref="M200">
    <cfRule type="cellIs" dxfId="0" priority="932" operator="lessThan">
      <formula>30</formula>
    </cfRule>
  </conditionalFormatting>
  <conditionalFormatting sqref="M201">
    <cfRule type="cellIs" dxfId="0" priority="931" operator="lessThan">
      <formula>30</formula>
    </cfRule>
  </conditionalFormatting>
  <conditionalFormatting sqref="M202">
    <cfRule type="cellIs" dxfId="0" priority="930" operator="lessThan">
      <formula>30</formula>
    </cfRule>
  </conditionalFormatting>
  <conditionalFormatting sqref="M203">
    <cfRule type="cellIs" dxfId="0" priority="929" operator="lessThan">
      <formula>30</formula>
    </cfRule>
  </conditionalFormatting>
  <conditionalFormatting sqref="M204">
    <cfRule type="cellIs" dxfId="0" priority="928" operator="lessThan">
      <formula>30</formula>
    </cfRule>
  </conditionalFormatting>
  <conditionalFormatting sqref="M205">
    <cfRule type="cellIs" dxfId="0" priority="927" operator="lessThan">
      <formula>30</formula>
    </cfRule>
  </conditionalFormatting>
  <conditionalFormatting sqref="M206">
    <cfRule type="cellIs" dxfId="0" priority="926" operator="lessThan">
      <formula>30</formula>
    </cfRule>
  </conditionalFormatting>
  <conditionalFormatting sqref="M207">
    <cfRule type="cellIs" dxfId="0" priority="925" operator="lessThan">
      <formula>30</formula>
    </cfRule>
  </conditionalFormatting>
  <conditionalFormatting sqref="M208">
    <cfRule type="cellIs" dxfId="0" priority="924" operator="lessThan">
      <formula>30</formula>
    </cfRule>
  </conditionalFormatting>
  <conditionalFormatting sqref="M209">
    <cfRule type="cellIs" dxfId="0" priority="923" operator="lessThan">
      <formula>30</formula>
    </cfRule>
  </conditionalFormatting>
  <conditionalFormatting sqref="M210">
    <cfRule type="cellIs" dxfId="0" priority="922" operator="lessThan">
      <formula>30</formula>
    </cfRule>
  </conditionalFormatting>
  <conditionalFormatting sqref="M211">
    <cfRule type="cellIs" dxfId="0" priority="921" operator="lessThan">
      <formula>30</formula>
    </cfRule>
  </conditionalFormatting>
  <conditionalFormatting sqref="M212">
    <cfRule type="cellIs" dxfId="0" priority="920" operator="lessThan">
      <formula>30</formula>
    </cfRule>
  </conditionalFormatting>
  <conditionalFormatting sqref="M213">
    <cfRule type="cellIs" dxfId="0" priority="919" operator="lessThan">
      <formula>30</formula>
    </cfRule>
  </conditionalFormatting>
  <conditionalFormatting sqref="M214">
    <cfRule type="cellIs" dxfId="0" priority="918" operator="lessThan">
      <formula>30</formula>
    </cfRule>
  </conditionalFormatting>
  <conditionalFormatting sqref="M215">
    <cfRule type="cellIs" dxfId="0" priority="917" operator="lessThan">
      <formula>30</formula>
    </cfRule>
  </conditionalFormatting>
  <conditionalFormatting sqref="M216">
    <cfRule type="cellIs" dxfId="0" priority="916" operator="lessThan">
      <formula>30</formula>
    </cfRule>
  </conditionalFormatting>
  <conditionalFormatting sqref="M217">
    <cfRule type="cellIs" dxfId="0" priority="915" operator="lessThan">
      <formula>30</formula>
    </cfRule>
  </conditionalFormatting>
  <conditionalFormatting sqref="M218">
    <cfRule type="cellIs" dxfId="0" priority="914" operator="lessThan">
      <formula>30</formula>
    </cfRule>
  </conditionalFormatting>
  <conditionalFormatting sqref="M219">
    <cfRule type="cellIs" dxfId="0" priority="913" operator="lessThan">
      <formula>30</formula>
    </cfRule>
  </conditionalFormatting>
  <conditionalFormatting sqref="M220">
    <cfRule type="cellIs" dxfId="0" priority="912" operator="lessThan">
      <formula>30</formula>
    </cfRule>
  </conditionalFormatting>
  <conditionalFormatting sqref="M221">
    <cfRule type="cellIs" dxfId="0" priority="911" operator="lessThan">
      <formula>30</formula>
    </cfRule>
  </conditionalFormatting>
  <conditionalFormatting sqref="M222">
    <cfRule type="cellIs" dxfId="0" priority="910" operator="lessThan">
      <formula>30</formula>
    </cfRule>
  </conditionalFormatting>
  <conditionalFormatting sqref="M223">
    <cfRule type="cellIs" dxfId="0" priority="909" operator="lessThan">
      <formula>30</formula>
    </cfRule>
  </conditionalFormatting>
  <conditionalFormatting sqref="M224">
    <cfRule type="cellIs" dxfId="0" priority="908" operator="lessThan">
      <formula>30</formula>
    </cfRule>
  </conditionalFormatting>
  <conditionalFormatting sqref="M225">
    <cfRule type="cellIs" dxfId="0" priority="907" operator="lessThan">
      <formula>30</formula>
    </cfRule>
  </conditionalFormatting>
  <conditionalFormatting sqref="M226">
    <cfRule type="cellIs" dxfId="0" priority="906" operator="lessThan">
      <formula>30</formula>
    </cfRule>
  </conditionalFormatting>
  <conditionalFormatting sqref="M227">
    <cfRule type="cellIs" dxfId="0" priority="905" operator="lessThan">
      <formula>30</formula>
    </cfRule>
  </conditionalFormatting>
  <conditionalFormatting sqref="M228">
    <cfRule type="cellIs" dxfId="0" priority="904" operator="lessThan">
      <formula>30</formula>
    </cfRule>
  </conditionalFormatting>
  <conditionalFormatting sqref="M229">
    <cfRule type="cellIs" dxfId="0" priority="903" operator="lessThan">
      <formula>30</formula>
    </cfRule>
  </conditionalFormatting>
  <conditionalFormatting sqref="M230">
    <cfRule type="cellIs" dxfId="0" priority="902" operator="lessThan">
      <formula>30</formula>
    </cfRule>
  </conditionalFormatting>
  <conditionalFormatting sqref="M231">
    <cfRule type="cellIs" dxfId="0" priority="901" operator="lessThan">
      <formula>30</formula>
    </cfRule>
  </conditionalFormatting>
  <conditionalFormatting sqref="M232">
    <cfRule type="cellIs" dxfId="0" priority="900" operator="lessThan">
      <formula>30</formula>
    </cfRule>
  </conditionalFormatting>
  <conditionalFormatting sqref="M233">
    <cfRule type="cellIs" dxfId="0" priority="899" operator="lessThan">
      <formula>30</formula>
    </cfRule>
  </conditionalFormatting>
  <conditionalFormatting sqref="M234">
    <cfRule type="cellIs" dxfId="0" priority="898" operator="lessThan">
      <formula>30</formula>
    </cfRule>
  </conditionalFormatting>
  <conditionalFormatting sqref="M235">
    <cfRule type="cellIs" dxfId="0" priority="897" operator="lessThan">
      <formula>30</formula>
    </cfRule>
  </conditionalFormatting>
  <conditionalFormatting sqref="M236">
    <cfRule type="cellIs" dxfId="0" priority="896" operator="lessThan">
      <formula>30</formula>
    </cfRule>
  </conditionalFormatting>
  <conditionalFormatting sqref="M237">
    <cfRule type="cellIs" dxfId="0" priority="895" operator="lessThan">
      <formula>30</formula>
    </cfRule>
  </conditionalFormatting>
  <conditionalFormatting sqref="M238">
    <cfRule type="cellIs" dxfId="0" priority="894" operator="lessThan">
      <formula>30</formula>
    </cfRule>
  </conditionalFormatting>
  <conditionalFormatting sqref="M239">
    <cfRule type="cellIs" dxfId="0" priority="893" operator="lessThan">
      <formula>30</formula>
    </cfRule>
  </conditionalFormatting>
  <conditionalFormatting sqref="M240">
    <cfRule type="cellIs" dxfId="0" priority="892" operator="lessThan">
      <formula>30</formula>
    </cfRule>
  </conditionalFormatting>
  <conditionalFormatting sqref="M241">
    <cfRule type="cellIs" dxfId="0" priority="891" operator="lessThan">
      <formula>30</formula>
    </cfRule>
  </conditionalFormatting>
  <conditionalFormatting sqref="M242">
    <cfRule type="cellIs" dxfId="0" priority="890" operator="lessThan">
      <formula>30</formula>
    </cfRule>
  </conditionalFormatting>
  <conditionalFormatting sqref="M243">
    <cfRule type="cellIs" dxfId="0" priority="889" operator="lessThan">
      <formula>30</formula>
    </cfRule>
  </conditionalFormatting>
  <conditionalFormatting sqref="M244">
    <cfRule type="cellIs" dxfId="0" priority="888" operator="lessThan">
      <formula>30</formula>
    </cfRule>
  </conditionalFormatting>
  <conditionalFormatting sqref="M245">
    <cfRule type="cellIs" dxfId="0" priority="887" operator="lessThan">
      <formula>30</formula>
    </cfRule>
  </conditionalFormatting>
  <conditionalFormatting sqref="M246">
    <cfRule type="cellIs" dxfId="0" priority="886" operator="lessThan">
      <formula>30</formula>
    </cfRule>
  </conditionalFormatting>
  <conditionalFormatting sqref="M247">
    <cfRule type="cellIs" dxfId="0" priority="885" operator="lessThan">
      <formula>30</formula>
    </cfRule>
  </conditionalFormatting>
  <conditionalFormatting sqref="M248">
    <cfRule type="cellIs" dxfId="0" priority="884" operator="lessThan">
      <formula>30</formula>
    </cfRule>
  </conditionalFormatting>
  <conditionalFormatting sqref="M249">
    <cfRule type="cellIs" dxfId="0" priority="883" operator="lessThan">
      <formula>30</formula>
    </cfRule>
  </conditionalFormatting>
  <conditionalFormatting sqref="M250">
    <cfRule type="cellIs" dxfId="0" priority="882" operator="lessThan">
      <formula>30</formula>
    </cfRule>
  </conditionalFormatting>
  <conditionalFormatting sqref="M251">
    <cfRule type="cellIs" dxfId="0" priority="881" operator="lessThan">
      <formula>30</formula>
    </cfRule>
  </conditionalFormatting>
  <conditionalFormatting sqref="M252">
    <cfRule type="cellIs" dxfId="0" priority="880" operator="lessThan">
      <formula>30</formula>
    </cfRule>
  </conditionalFormatting>
  <conditionalFormatting sqref="M253">
    <cfRule type="cellIs" dxfId="0" priority="879" operator="lessThan">
      <formula>30</formula>
    </cfRule>
  </conditionalFormatting>
  <conditionalFormatting sqref="M254">
    <cfRule type="cellIs" dxfId="0" priority="878" operator="lessThan">
      <formula>30</formula>
    </cfRule>
  </conditionalFormatting>
  <conditionalFormatting sqref="M255">
    <cfRule type="cellIs" dxfId="0" priority="877" operator="lessThan">
      <formula>30</formula>
    </cfRule>
  </conditionalFormatting>
  <conditionalFormatting sqref="M256">
    <cfRule type="cellIs" dxfId="0" priority="876" operator="lessThan">
      <formula>30</formula>
    </cfRule>
  </conditionalFormatting>
  <conditionalFormatting sqref="M257">
    <cfRule type="cellIs" dxfId="0" priority="875" operator="lessThan">
      <formula>30</formula>
    </cfRule>
  </conditionalFormatting>
  <conditionalFormatting sqref="M258">
    <cfRule type="cellIs" dxfId="0" priority="874" operator="lessThan">
      <formula>30</formula>
    </cfRule>
  </conditionalFormatting>
  <conditionalFormatting sqref="M259">
    <cfRule type="cellIs" dxfId="0" priority="873" operator="lessThan">
      <formula>30</formula>
    </cfRule>
  </conditionalFormatting>
  <conditionalFormatting sqref="M260">
    <cfRule type="cellIs" dxfId="0" priority="872" operator="lessThan">
      <formula>30</formula>
    </cfRule>
  </conditionalFormatting>
  <conditionalFormatting sqref="M261">
    <cfRule type="cellIs" dxfId="0" priority="871" operator="lessThan">
      <formula>30</formula>
    </cfRule>
  </conditionalFormatting>
  <conditionalFormatting sqref="M262">
    <cfRule type="cellIs" dxfId="0" priority="870" operator="lessThan">
      <formula>30</formula>
    </cfRule>
  </conditionalFormatting>
  <conditionalFormatting sqref="M263">
    <cfRule type="cellIs" dxfId="0" priority="869" operator="lessThan">
      <formula>30</formula>
    </cfRule>
  </conditionalFormatting>
  <conditionalFormatting sqref="M264">
    <cfRule type="cellIs" dxfId="0" priority="868" operator="lessThan">
      <formula>30</formula>
    </cfRule>
  </conditionalFormatting>
  <conditionalFormatting sqref="M265">
    <cfRule type="cellIs" dxfId="0" priority="867" operator="lessThan">
      <formula>30</formula>
    </cfRule>
  </conditionalFormatting>
  <conditionalFormatting sqref="M266">
    <cfRule type="cellIs" dxfId="0" priority="866" operator="lessThan">
      <formula>30</formula>
    </cfRule>
  </conditionalFormatting>
  <conditionalFormatting sqref="M267">
    <cfRule type="cellIs" dxfId="0" priority="865" operator="lessThan">
      <formula>30</formula>
    </cfRule>
  </conditionalFormatting>
  <conditionalFormatting sqref="M268">
    <cfRule type="cellIs" dxfId="0" priority="864" operator="lessThan">
      <formula>30</formula>
    </cfRule>
  </conditionalFormatting>
  <conditionalFormatting sqref="M269">
    <cfRule type="cellIs" dxfId="0" priority="863" operator="lessThan">
      <formula>30</formula>
    </cfRule>
  </conditionalFormatting>
  <conditionalFormatting sqref="M270">
    <cfRule type="cellIs" dxfId="0" priority="862" operator="lessThan">
      <formula>30</formula>
    </cfRule>
  </conditionalFormatting>
  <conditionalFormatting sqref="M271">
    <cfRule type="cellIs" dxfId="0" priority="861" operator="lessThan">
      <formula>30</formula>
    </cfRule>
  </conditionalFormatting>
  <conditionalFormatting sqref="M272">
    <cfRule type="cellIs" dxfId="0" priority="860" operator="lessThan">
      <formula>30</formula>
    </cfRule>
  </conditionalFormatting>
  <conditionalFormatting sqref="M273">
    <cfRule type="cellIs" dxfId="0" priority="859" operator="lessThan">
      <formula>30</formula>
    </cfRule>
  </conditionalFormatting>
  <conditionalFormatting sqref="M274">
    <cfRule type="cellIs" dxfId="0" priority="858" operator="lessThan">
      <formula>30</formula>
    </cfRule>
  </conditionalFormatting>
  <conditionalFormatting sqref="M275">
    <cfRule type="cellIs" dxfId="0" priority="857" operator="lessThan">
      <formula>30</formula>
    </cfRule>
  </conditionalFormatting>
  <conditionalFormatting sqref="M276">
    <cfRule type="cellIs" dxfId="0" priority="856" operator="lessThan">
      <formula>30</formula>
    </cfRule>
  </conditionalFormatting>
  <conditionalFormatting sqref="M277">
    <cfRule type="cellIs" dxfId="0" priority="855" operator="lessThan">
      <formula>30</formula>
    </cfRule>
  </conditionalFormatting>
  <conditionalFormatting sqref="M278">
    <cfRule type="cellIs" dxfId="0" priority="854" operator="lessThan">
      <formula>30</formula>
    </cfRule>
  </conditionalFormatting>
  <conditionalFormatting sqref="M279">
    <cfRule type="cellIs" dxfId="0" priority="853" operator="lessThan">
      <formula>30</formula>
    </cfRule>
  </conditionalFormatting>
  <conditionalFormatting sqref="M280">
    <cfRule type="cellIs" dxfId="0" priority="852" operator="lessThan">
      <formula>30</formula>
    </cfRule>
  </conditionalFormatting>
  <conditionalFormatting sqref="M281">
    <cfRule type="cellIs" dxfId="0" priority="851" operator="lessThan">
      <formula>30</formula>
    </cfRule>
  </conditionalFormatting>
  <conditionalFormatting sqref="M282">
    <cfRule type="cellIs" dxfId="0" priority="850" operator="lessThan">
      <formula>30</formula>
    </cfRule>
  </conditionalFormatting>
  <conditionalFormatting sqref="M283">
    <cfRule type="cellIs" dxfId="0" priority="849" operator="lessThan">
      <formula>30</formula>
    </cfRule>
  </conditionalFormatting>
  <conditionalFormatting sqref="M284">
    <cfRule type="cellIs" dxfId="0" priority="848" operator="lessThan">
      <formula>30</formula>
    </cfRule>
  </conditionalFormatting>
  <conditionalFormatting sqref="M285">
    <cfRule type="cellIs" dxfId="0" priority="847" operator="lessThan">
      <formula>30</formula>
    </cfRule>
  </conditionalFormatting>
  <conditionalFormatting sqref="M286">
    <cfRule type="cellIs" dxfId="0" priority="846" operator="lessThan">
      <formula>30</formula>
    </cfRule>
  </conditionalFormatting>
  <conditionalFormatting sqref="M287">
    <cfRule type="cellIs" dxfId="0" priority="845" operator="lessThan">
      <formula>30</formula>
    </cfRule>
  </conditionalFormatting>
  <conditionalFormatting sqref="M288">
    <cfRule type="cellIs" dxfId="0" priority="844" operator="lessThan">
      <formula>30</formula>
    </cfRule>
  </conditionalFormatting>
  <conditionalFormatting sqref="M289">
    <cfRule type="cellIs" dxfId="0" priority="843" operator="lessThan">
      <formula>30</formula>
    </cfRule>
  </conditionalFormatting>
  <conditionalFormatting sqref="M290">
    <cfRule type="cellIs" dxfId="0" priority="842" operator="lessThan">
      <formula>30</formula>
    </cfRule>
  </conditionalFormatting>
  <conditionalFormatting sqref="M291">
    <cfRule type="cellIs" dxfId="0" priority="841" operator="lessThan">
      <formula>30</formula>
    </cfRule>
  </conditionalFormatting>
  <conditionalFormatting sqref="M292">
    <cfRule type="cellIs" dxfId="0" priority="840" operator="lessThan">
      <formula>30</formula>
    </cfRule>
  </conditionalFormatting>
  <conditionalFormatting sqref="M293">
    <cfRule type="cellIs" dxfId="0" priority="839" operator="lessThan">
      <formula>30</formula>
    </cfRule>
  </conditionalFormatting>
  <conditionalFormatting sqref="M294">
    <cfRule type="cellIs" dxfId="0" priority="838" operator="lessThan">
      <formula>30</formula>
    </cfRule>
  </conditionalFormatting>
  <conditionalFormatting sqref="M295">
    <cfRule type="cellIs" dxfId="0" priority="837" operator="lessThan">
      <formula>30</formula>
    </cfRule>
  </conditionalFormatting>
  <conditionalFormatting sqref="M296">
    <cfRule type="cellIs" dxfId="0" priority="836" operator="lessThan">
      <formula>30</formula>
    </cfRule>
  </conditionalFormatting>
  <conditionalFormatting sqref="M297">
    <cfRule type="cellIs" dxfId="0" priority="835" operator="lessThan">
      <formula>30</formula>
    </cfRule>
  </conditionalFormatting>
  <conditionalFormatting sqref="M298">
    <cfRule type="cellIs" dxfId="0" priority="834" operator="lessThan">
      <formula>30</formula>
    </cfRule>
  </conditionalFormatting>
  <conditionalFormatting sqref="M299">
    <cfRule type="cellIs" dxfId="0" priority="833" operator="lessThan">
      <formula>30</formula>
    </cfRule>
  </conditionalFormatting>
  <conditionalFormatting sqref="M300">
    <cfRule type="cellIs" dxfId="0" priority="832" operator="lessThan">
      <formula>30</formula>
    </cfRule>
  </conditionalFormatting>
  <conditionalFormatting sqref="M301">
    <cfRule type="cellIs" dxfId="0" priority="831" operator="lessThan">
      <formula>30</formula>
    </cfRule>
  </conditionalFormatting>
  <conditionalFormatting sqref="M302">
    <cfRule type="cellIs" dxfId="0" priority="830" operator="lessThan">
      <formula>30</formula>
    </cfRule>
  </conditionalFormatting>
  <conditionalFormatting sqref="M303">
    <cfRule type="cellIs" dxfId="0" priority="829" operator="lessThan">
      <formula>30</formula>
    </cfRule>
  </conditionalFormatting>
  <conditionalFormatting sqref="M304">
    <cfRule type="cellIs" dxfId="0" priority="828" operator="lessThan">
      <formula>30</formula>
    </cfRule>
  </conditionalFormatting>
  <conditionalFormatting sqref="M305">
    <cfRule type="cellIs" dxfId="0" priority="827" operator="lessThan">
      <formula>30</formula>
    </cfRule>
  </conditionalFormatting>
  <conditionalFormatting sqref="M306">
    <cfRule type="cellIs" dxfId="0" priority="826" operator="lessThan">
      <formula>30</formula>
    </cfRule>
  </conditionalFormatting>
  <conditionalFormatting sqref="M307">
    <cfRule type="cellIs" dxfId="0" priority="825" operator="lessThan">
      <formula>30</formula>
    </cfRule>
  </conditionalFormatting>
  <conditionalFormatting sqref="M308">
    <cfRule type="cellIs" dxfId="0" priority="824" operator="lessThan">
      <formula>30</formula>
    </cfRule>
  </conditionalFormatting>
  <conditionalFormatting sqref="M309">
    <cfRule type="cellIs" dxfId="0" priority="823" operator="lessThan">
      <formula>30</formula>
    </cfRule>
  </conditionalFormatting>
  <conditionalFormatting sqref="M310">
    <cfRule type="cellIs" dxfId="0" priority="822" operator="lessThan">
      <formula>30</formula>
    </cfRule>
  </conditionalFormatting>
  <conditionalFormatting sqref="M311">
    <cfRule type="cellIs" dxfId="0" priority="821" operator="lessThan">
      <formula>30</formula>
    </cfRule>
  </conditionalFormatting>
  <conditionalFormatting sqref="M312">
    <cfRule type="cellIs" dxfId="0" priority="820" operator="lessThan">
      <formula>30</formula>
    </cfRule>
  </conditionalFormatting>
  <conditionalFormatting sqref="M313">
    <cfRule type="cellIs" dxfId="0" priority="819" operator="lessThan">
      <formula>30</formula>
    </cfRule>
  </conditionalFormatting>
  <conditionalFormatting sqref="M314">
    <cfRule type="cellIs" dxfId="0" priority="818" operator="lessThan">
      <formula>30</formula>
    </cfRule>
  </conditionalFormatting>
  <conditionalFormatting sqref="M315">
    <cfRule type="cellIs" dxfId="0" priority="817" operator="lessThan">
      <formula>30</formula>
    </cfRule>
  </conditionalFormatting>
  <conditionalFormatting sqref="M316">
    <cfRule type="cellIs" dxfId="0" priority="816" operator="lessThan">
      <formula>30</formula>
    </cfRule>
  </conditionalFormatting>
  <conditionalFormatting sqref="M317">
    <cfRule type="cellIs" dxfId="0" priority="815" operator="lessThan">
      <formula>30</formula>
    </cfRule>
  </conditionalFormatting>
  <conditionalFormatting sqref="M318">
    <cfRule type="cellIs" dxfId="0" priority="814" operator="lessThan">
      <formula>30</formula>
    </cfRule>
  </conditionalFormatting>
  <conditionalFormatting sqref="M319">
    <cfRule type="cellIs" dxfId="0" priority="813" operator="lessThan">
      <formula>30</formula>
    </cfRule>
  </conditionalFormatting>
  <conditionalFormatting sqref="M320">
    <cfRule type="cellIs" dxfId="0" priority="812" operator="lessThan">
      <formula>30</formula>
    </cfRule>
  </conditionalFormatting>
  <conditionalFormatting sqref="M321">
    <cfRule type="cellIs" dxfId="0" priority="811" operator="lessThan">
      <formula>30</formula>
    </cfRule>
  </conditionalFormatting>
  <conditionalFormatting sqref="M322">
    <cfRule type="cellIs" dxfId="0" priority="810" operator="lessThan">
      <formula>30</formula>
    </cfRule>
  </conditionalFormatting>
  <conditionalFormatting sqref="M323">
    <cfRule type="cellIs" dxfId="0" priority="809" operator="lessThan">
      <formula>30</formula>
    </cfRule>
  </conditionalFormatting>
  <conditionalFormatting sqref="M324">
    <cfRule type="cellIs" dxfId="0" priority="808" operator="lessThan">
      <formula>30</formula>
    </cfRule>
  </conditionalFormatting>
  <conditionalFormatting sqref="M325">
    <cfRule type="cellIs" dxfId="0" priority="807" operator="lessThan">
      <formula>30</formula>
    </cfRule>
  </conditionalFormatting>
  <conditionalFormatting sqref="M326">
    <cfRule type="cellIs" dxfId="0" priority="806" operator="lessThan">
      <formula>30</formula>
    </cfRule>
  </conditionalFormatting>
  <conditionalFormatting sqref="M327">
    <cfRule type="cellIs" dxfId="0" priority="805" operator="lessThan">
      <formula>30</formula>
    </cfRule>
  </conditionalFormatting>
  <conditionalFormatting sqref="M328">
    <cfRule type="cellIs" dxfId="0" priority="804" operator="lessThan">
      <formula>30</formula>
    </cfRule>
  </conditionalFormatting>
  <conditionalFormatting sqref="M329">
    <cfRule type="cellIs" dxfId="0" priority="803" operator="lessThan">
      <formula>30</formula>
    </cfRule>
  </conditionalFormatting>
  <conditionalFormatting sqref="M330">
    <cfRule type="cellIs" dxfId="0" priority="802" operator="lessThan">
      <formula>30</formula>
    </cfRule>
  </conditionalFormatting>
  <conditionalFormatting sqref="M331">
    <cfRule type="cellIs" dxfId="0" priority="801" operator="lessThan">
      <formula>30</formula>
    </cfRule>
  </conditionalFormatting>
  <conditionalFormatting sqref="M332">
    <cfRule type="cellIs" dxfId="0" priority="800" operator="lessThan">
      <formula>30</formula>
    </cfRule>
  </conditionalFormatting>
  <conditionalFormatting sqref="M333">
    <cfRule type="cellIs" dxfId="0" priority="799" operator="lessThan">
      <formula>30</formula>
    </cfRule>
  </conditionalFormatting>
  <conditionalFormatting sqref="M334">
    <cfRule type="cellIs" dxfId="0" priority="798" operator="lessThan">
      <formula>30</formula>
    </cfRule>
  </conditionalFormatting>
  <conditionalFormatting sqref="M335">
    <cfRule type="cellIs" dxfId="0" priority="797" operator="lessThan">
      <formula>30</formula>
    </cfRule>
  </conditionalFormatting>
  <conditionalFormatting sqref="M336">
    <cfRule type="cellIs" dxfId="0" priority="796" operator="lessThan">
      <formula>30</formula>
    </cfRule>
  </conditionalFormatting>
  <conditionalFormatting sqref="M337">
    <cfRule type="cellIs" dxfId="0" priority="795" operator="lessThan">
      <formula>30</formula>
    </cfRule>
  </conditionalFormatting>
  <conditionalFormatting sqref="M338">
    <cfRule type="cellIs" dxfId="0" priority="794" operator="lessThan">
      <formula>30</formula>
    </cfRule>
  </conditionalFormatting>
  <conditionalFormatting sqref="M339">
    <cfRule type="cellIs" dxfId="0" priority="793" operator="lessThan">
      <formula>30</formula>
    </cfRule>
  </conditionalFormatting>
  <conditionalFormatting sqref="M340">
    <cfRule type="cellIs" dxfId="0" priority="792" operator="lessThan">
      <formula>30</formula>
    </cfRule>
  </conditionalFormatting>
  <conditionalFormatting sqref="M341">
    <cfRule type="cellIs" dxfId="0" priority="791" operator="lessThan">
      <formula>30</formula>
    </cfRule>
  </conditionalFormatting>
  <conditionalFormatting sqref="M342">
    <cfRule type="cellIs" dxfId="0" priority="790" operator="lessThan">
      <formula>30</formula>
    </cfRule>
  </conditionalFormatting>
  <conditionalFormatting sqref="M343">
    <cfRule type="cellIs" dxfId="0" priority="789" operator="lessThan">
      <formula>30</formula>
    </cfRule>
  </conditionalFormatting>
  <conditionalFormatting sqref="M344">
    <cfRule type="cellIs" dxfId="0" priority="788" operator="lessThan">
      <formula>30</formula>
    </cfRule>
  </conditionalFormatting>
  <conditionalFormatting sqref="M345">
    <cfRule type="cellIs" dxfId="0" priority="787" operator="lessThan">
      <formula>30</formula>
    </cfRule>
  </conditionalFormatting>
  <conditionalFormatting sqref="M346">
    <cfRule type="cellIs" dxfId="0" priority="786" operator="lessThan">
      <formula>30</formula>
    </cfRule>
  </conditionalFormatting>
  <conditionalFormatting sqref="M347">
    <cfRule type="cellIs" dxfId="0" priority="785" operator="lessThan">
      <formula>30</formula>
    </cfRule>
  </conditionalFormatting>
  <conditionalFormatting sqref="M348">
    <cfRule type="cellIs" dxfId="0" priority="784" operator="lessThan">
      <formula>30</formula>
    </cfRule>
  </conditionalFormatting>
  <conditionalFormatting sqref="M349">
    <cfRule type="cellIs" dxfId="0" priority="783" operator="lessThan">
      <formula>30</formula>
    </cfRule>
  </conditionalFormatting>
  <conditionalFormatting sqref="M350">
    <cfRule type="cellIs" dxfId="0" priority="782" operator="lessThan">
      <formula>30</formula>
    </cfRule>
  </conditionalFormatting>
  <conditionalFormatting sqref="M351">
    <cfRule type="cellIs" dxfId="0" priority="781" operator="lessThan">
      <formula>30</formula>
    </cfRule>
  </conditionalFormatting>
  <conditionalFormatting sqref="M352">
    <cfRule type="cellIs" dxfId="0" priority="780" operator="lessThan">
      <formula>30</formula>
    </cfRule>
  </conditionalFormatting>
  <conditionalFormatting sqref="M353">
    <cfRule type="cellIs" dxfId="0" priority="779" operator="lessThan">
      <formula>30</formula>
    </cfRule>
  </conditionalFormatting>
  <conditionalFormatting sqref="M354">
    <cfRule type="cellIs" dxfId="0" priority="778" operator="lessThan">
      <formula>30</formula>
    </cfRule>
  </conditionalFormatting>
  <conditionalFormatting sqref="M355">
    <cfRule type="cellIs" dxfId="0" priority="777" operator="lessThan">
      <formula>30</formula>
    </cfRule>
  </conditionalFormatting>
  <conditionalFormatting sqref="M356">
    <cfRule type="cellIs" dxfId="0" priority="776" operator="lessThan">
      <formula>30</formula>
    </cfRule>
  </conditionalFormatting>
  <conditionalFormatting sqref="M357">
    <cfRule type="cellIs" dxfId="0" priority="775" operator="lessThan">
      <formula>30</formula>
    </cfRule>
  </conditionalFormatting>
  <conditionalFormatting sqref="M358">
    <cfRule type="cellIs" dxfId="0" priority="774" operator="lessThan">
      <formula>30</formula>
    </cfRule>
  </conditionalFormatting>
  <conditionalFormatting sqref="M359">
    <cfRule type="cellIs" dxfId="0" priority="773" operator="lessThan">
      <formula>30</formula>
    </cfRule>
  </conditionalFormatting>
  <conditionalFormatting sqref="M360">
    <cfRule type="cellIs" dxfId="0" priority="772" operator="lessThan">
      <formula>30</formula>
    </cfRule>
  </conditionalFormatting>
  <conditionalFormatting sqref="M361">
    <cfRule type="cellIs" dxfId="0" priority="771" operator="lessThan">
      <formula>30</formula>
    </cfRule>
  </conditionalFormatting>
  <conditionalFormatting sqref="M362">
    <cfRule type="cellIs" dxfId="0" priority="770" operator="lessThan">
      <formula>30</formula>
    </cfRule>
  </conditionalFormatting>
  <conditionalFormatting sqref="M363">
    <cfRule type="cellIs" dxfId="0" priority="769" operator="lessThan">
      <formula>30</formula>
    </cfRule>
  </conditionalFormatting>
  <conditionalFormatting sqref="M364">
    <cfRule type="cellIs" dxfId="0" priority="768" operator="lessThan">
      <formula>30</formula>
    </cfRule>
  </conditionalFormatting>
  <conditionalFormatting sqref="M365">
    <cfRule type="cellIs" dxfId="0" priority="767" operator="lessThan">
      <formula>30</formula>
    </cfRule>
  </conditionalFormatting>
  <conditionalFormatting sqref="M366">
    <cfRule type="cellIs" dxfId="0" priority="766" operator="lessThan">
      <formula>30</formula>
    </cfRule>
  </conditionalFormatting>
  <conditionalFormatting sqref="M367">
    <cfRule type="cellIs" dxfId="0" priority="765" operator="lessThan">
      <formula>30</formula>
    </cfRule>
  </conditionalFormatting>
  <conditionalFormatting sqref="M368">
    <cfRule type="cellIs" dxfId="0" priority="764" operator="lessThan">
      <formula>30</formula>
    </cfRule>
  </conditionalFormatting>
  <conditionalFormatting sqref="M369">
    <cfRule type="cellIs" dxfId="0" priority="763" operator="lessThan">
      <formula>30</formula>
    </cfRule>
  </conditionalFormatting>
  <conditionalFormatting sqref="M370">
    <cfRule type="cellIs" dxfId="0" priority="762" operator="lessThan">
      <formula>30</formula>
    </cfRule>
  </conditionalFormatting>
  <conditionalFormatting sqref="M371">
    <cfRule type="cellIs" dxfId="0" priority="761" operator="lessThan">
      <formula>30</formula>
    </cfRule>
  </conditionalFormatting>
  <conditionalFormatting sqref="M372">
    <cfRule type="cellIs" dxfId="0" priority="760" operator="lessThan">
      <formula>30</formula>
    </cfRule>
  </conditionalFormatting>
  <conditionalFormatting sqref="M373">
    <cfRule type="cellIs" dxfId="0" priority="759" operator="lessThan">
      <formula>30</formula>
    </cfRule>
  </conditionalFormatting>
  <conditionalFormatting sqref="M374">
    <cfRule type="cellIs" dxfId="0" priority="758" operator="lessThan">
      <formula>30</formula>
    </cfRule>
  </conditionalFormatting>
  <conditionalFormatting sqref="M375">
    <cfRule type="cellIs" dxfId="0" priority="757" operator="lessThan">
      <formula>30</formula>
    </cfRule>
  </conditionalFormatting>
  <conditionalFormatting sqref="M376">
    <cfRule type="cellIs" dxfId="0" priority="756" operator="lessThan">
      <formula>30</formula>
    </cfRule>
  </conditionalFormatting>
  <conditionalFormatting sqref="M377">
    <cfRule type="cellIs" dxfId="0" priority="755" operator="lessThan">
      <formula>30</formula>
    </cfRule>
  </conditionalFormatting>
  <conditionalFormatting sqref="M378">
    <cfRule type="cellIs" dxfId="0" priority="754" operator="lessThan">
      <formula>30</formula>
    </cfRule>
  </conditionalFormatting>
  <conditionalFormatting sqref="M379">
    <cfRule type="cellIs" dxfId="0" priority="753" operator="lessThan">
      <formula>30</formula>
    </cfRule>
  </conditionalFormatting>
  <conditionalFormatting sqref="M380">
    <cfRule type="cellIs" dxfId="0" priority="752" operator="lessThan">
      <formula>30</formula>
    </cfRule>
  </conditionalFormatting>
  <conditionalFormatting sqref="M381">
    <cfRule type="cellIs" dxfId="0" priority="751" operator="lessThan">
      <formula>30</formula>
    </cfRule>
  </conditionalFormatting>
  <conditionalFormatting sqref="M382">
    <cfRule type="cellIs" dxfId="0" priority="750" operator="lessThan">
      <formula>30</formula>
    </cfRule>
  </conditionalFormatting>
  <conditionalFormatting sqref="M383">
    <cfRule type="cellIs" dxfId="0" priority="749" operator="lessThan">
      <formula>30</formula>
    </cfRule>
  </conditionalFormatting>
  <conditionalFormatting sqref="M384">
    <cfRule type="cellIs" dxfId="0" priority="748" operator="lessThan">
      <formula>30</formula>
    </cfRule>
  </conditionalFormatting>
  <conditionalFormatting sqref="M385">
    <cfRule type="cellIs" dxfId="0" priority="747" operator="lessThan">
      <formula>30</formula>
    </cfRule>
  </conditionalFormatting>
  <conditionalFormatting sqref="M386">
    <cfRule type="cellIs" dxfId="0" priority="746" operator="lessThan">
      <formula>30</formula>
    </cfRule>
  </conditionalFormatting>
  <conditionalFormatting sqref="M387">
    <cfRule type="cellIs" dxfId="0" priority="745" operator="lessThan">
      <formula>30</formula>
    </cfRule>
  </conditionalFormatting>
  <conditionalFormatting sqref="M388">
    <cfRule type="cellIs" dxfId="0" priority="744" operator="lessThan">
      <formula>30</formula>
    </cfRule>
  </conditionalFormatting>
  <conditionalFormatting sqref="M389">
    <cfRule type="cellIs" dxfId="0" priority="743" operator="lessThan">
      <formula>30</formula>
    </cfRule>
  </conditionalFormatting>
  <conditionalFormatting sqref="M390">
    <cfRule type="cellIs" dxfId="0" priority="742" operator="lessThan">
      <formula>30</formula>
    </cfRule>
  </conditionalFormatting>
  <conditionalFormatting sqref="M391">
    <cfRule type="cellIs" dxfId="0" priority="741" operator="lessThan">
      <formula>30</formula>
    </cfRule>
  </conditionalFormatting>
  <conditionalFormatting sqref="M392">
    <cfRule type="cellIs" dxfId="0" priority="740" operator="lessThan">
      <formula>30</formula>
    </cfRule>
  </conditionalFormatting>
  <conditionalFormatting sqref="M393">
    <cfRule type="cellIs" dxfId="0" priority="739" operator="lessThan">
      <formula>30</formula>
    </cfRule>
  </conditionalFormatting>
  <conditionalFormatting sqref="M394">
    <cfRule type="cellIs" dxfId="0" priority="738" operator="lessThan">
      <formula>30</formula>
    </cfRule>
  </conditionalFormatting>
  <conditionalFormatting sqref="M395">
    <cfRule type="cellIs" dxfId="0" priority="737" operator="lessThan">
      <formula>30</formula>
    </cfRule>
  </conditionalFormatting>
  <conditionalFormatting sqref="M396">
    <cfRule type="cellIs" dxfId="0" priority="736" operator="lessThan">
      <formula>30</formula>
    </cfRule>
  </conditionalFormatting>
  <conditionalFormatting sqref="M397">
    <cfRule type="cellIs" dxfId="0" priority="735" operator="lessThan">
      <formula>30</formula>
    </cfRule>
  </conditionalFormatting>
  <conditionalFormatting sqref="M398">
    <cfRule type="cellIs" dxfId="0" priority="734" operator="lessThan">
      <formula>30</formula>
    </cfRule>
  </conditionalFormatting>
  <conditionalFormatting sqref="M399">
    <cfRule type="cellIs" dxfId="0" priority="733" operator="lessThan">
      <formula>30</formula>
    </cfRule>
  </conditionalFormatting>
  <conditionalFormatting sqref="M400">
    <cfRule type="cellIs" dxfId="0" priority="732" operator="lessThan">
      <formula>30</formula>
    </cfRule>
  </conditionalFormatting>
  <conditionalFormatting sqref="M401">
    <cfRule type="cellIs" dxfId="0" priority="731" operator="lessThan">
      <formula>30</formula>
    </cfRule>
  </conditionalFormatting>
  <conditionalFormatting sqref="M402">
    <cfRule type="cellIs" dxfId="0" priority="730" operator="lessThan">
      <formula>30</formula>
    </cfRule>
  </conditionalFormatting>
  <conditionalFormatting sqref="M403">
    <cfRule type="cellIs" dxfId="0" priority="729" operator="lessThan">
      <formula>30</formula>
    </cfRule>
  </conditionalFormatting>
  <conditionalFormatting sqref="M404">
    <cfRule type="cellIs" dxfId="0" priority="728" operator="lessThan">
      <formula>30</formula>
    </cfRule>
  </conditionalFormatting>
  <conditionalFormatting sqref="M405">
    <cfRule type="cellIs" dxfId="0" priority="727" operator="lessThan">
      <formula>30</formula>
    </cfRule>
  </conditionalFormatting>
  <conditionalFormatting sqref="M406">
    <cfRule type="cellIs" dxfId="0" priority="726" operator="lessThan">
      <formula>30</formula>
    </cfRule>
  </conditionalFormatting>
  <conditionalFormatting sqref="M407">
    <cfRule type="cellIs" dxfId="0" priority="725" operator="lessThan">
      <formula>30</formula>
    </cfRule>
  </conditionalFormatting>
  <conditionalFormatting sqref="M408">
    <cfRule type="cellIs" dxfId="0" priority="724" operator="lessThan">
      <formula>30</formula>
    </cfRule>
  </conditionalFormatting>
  <conditionalFormatting sqref="M409">
    <cfRule type="cellIs" dxfId="0" priority="723" operator="lessThan">
      <formula>30</formula>
    </cfRule>
  </conditionalFormatting>
  <conditionalFormatting sqref="M410">
    <cfRule type="cellIs" dxfId="0" priority="722" operator="lessThan">
      <formula>30</formula>
    </cfRule>
  </conditionalFormatting>
  <conditionalFormatting sqref="M411">
    <cfRule type="cellIs" dxfId="0" priority="721" operator="lessThan">
      <formula>30</formula>
    </cfRule>
  </conditionalFormatting>
  <conditionalFormatting sqref="M412">
    <cfRule type="cellIs" dxfId="0" priority="720" operator="lessThan">
      <formula>30</formula>
    </cfRule>
  </conditionalFormatting>
  <conditionalFormatting sqref="M413">
    <cfRule type="cellIs" dxfId="0" priority="719" operator="lessThan">
      <formula>30</formula>
    </cfRule>
  </conditionalFormatting>
  <conditionalFormatting sqref="M414">
    <cfRule type="cellIs" dxfId="0" priority="718" operator="lessThan">
      <formula>30</formula>
    </cfRule>
  </conditionalFormatting>
  <conditionalFormatting sqref="M415">
    <cfRule type="cellIs" dxfId="0" priority="717" operator="lessThan">
      <formula>30</formula>
    </cfRule>
  </conditionalFormatting>
  <conditionalFormatting sqref="M416">
    <cfRule type="cellIs" dxfId="0" priority="716" operator="lessThan">
      <formula>30</formula>
    </cfRule>
  </conditionalFormatting>
  <conditionalFormatting sqref="M417">
    <cfRule type="cellIs" dxfId="0" priority="715" operator="lessThan">
      <formula>30</formula>
    </cfRule>
  </conditionalFormatting>
  <conditionalFormatting sqref="M418">
    <cfRule type="cellIs" dxfId="0" priority="714" operator="lessThan">
      <formula>30</formula>
    </cfRule>
  </conditionalFormatting>
  <conditionalFormatting sqref="M419">
    <cfRule type="cellIs" dxfId="0" priority="713" operator="lessThan">
      <formula>30</formula>
    </cfRule>
  </conditionalFormatting>
  <conditionalFormatting sqref="M420">
    <cfRule type="cellIs" dxfId="0" priority="712" operator="lessThan">
      <formula>30</formula>
    </cfRule>
  </conditionalFormatting>
  <conditionalFormatting sqref="M421">
    <cfRule type="cellIs" dxfId="0" priority="711" operator="lessThan">
      <formula>30</formula>
    </cfRule>
  </conditionalFormatting>
  <conditionalFormatting sqref="M422">
    <cfRule type="cellIs" dxfId="0" priority="710" operator="lessThan">
      <formula>30</formula>
    </cfRule>
  </conditionalFormatting>
  <conditionalFormatting sqref="M423">
    <cfRule type="cellIs" dxfId="0" priority="709" operator="lessThan">
      <formula>30</formula>
    </cfRule>
  </conditionalFormatting>
  <conditionalFormatting sqref="M424">
    <cfRule type="cellIs" dxfId="0" priority="708" operator="lessThan">
      <formula>30</formula>
    </cfRule>
  </conditionalFormatting>
  <conditionalFormatting sqref="M425">
    <cfRule type="cellIs" dxfId="0" priority="707" operator="lessThan">
      <formula>30</formula>
    </cfRule>
  </conditionalFormatting>
  <conditionalFormatting sqref="M426">
    <cfRule type="cellIs" dxfId="0" priority="706" operator="lessThan">
      <formula>30</formula>
    </cfRule>
  </conditionalFormatting>
  <conditionalFormatting sqref="M427">
    <cfRule type="cellIs" dxfId="0" priority="705" operator="lessThan">
      <formula>30</formula>
    </cfRule>
  </conditionalFormatting>
  <conditionalFormatting sqref="M428">
    <cfRule type="cellIs" dxfId="0" priority="704" operator="lessThan">
      <formula>30</formula>
    </cfRule>
  </conditionalFormatting>
  <conditionalFormatting sqref="M429">
    <cfRule type="cellIs" dxfId="0" priority="703" operator="lessThan">
      <formula>30</formula>
    </cfRule>
  </conditionalFormatting>
  <conditionalFormatting sqref="M430">
    <cfRule type="cellIs" dxfId="0" priority="702" operator="lessThan">
      <formula>30</formula>
    </cfRule>
  </conditionalFormatting>
  <conditionalFormatting sqref="M431">
    <cfRule type="cellIs" dxfId="0" priority="701" operator="lessThan">
      <formula>30</formula>
    </cfRule>
  </conditionalFormatting>
  <conditionalFormatting sqref="M432">
    <cfRule type="cellIs" dxfId="0" priority="700" operator="lessThan">
      <formula>30</formula>
    </cfRule>
  </conditionalFormatting>
  <conditionalFormatting sqref="M433">
    <cfRule type="cellIs" dxfId="0" priority="699" operator="lessThan">
      <formula>30</formula>
    </cfRule>
  </conditionalFormatting>
  <conditionalFormatting sqref="M434">
    <cfRule type="cellIs" dxfId="0" priority="698" operator="lessThan">
      <formula>30</formula>
    </cfRule>
  </conditionalFormatting>
  <conditionalFormatting sqref="M435">
    <cfRule type="cellIs" dxfId="0" priority="697" operator="lessThan">
      <formula>30</formula>
    </cfRule>
  </conditionalFormatting>
  <conditionalFormatting sqref="M436">
    <cfRule type="cellIs" dxfId="0" priority="696" operator="lessThan">
      <formula>30</formula>
    </cfRule>
  </conditionalFormatting>
  <conditionalFormatting sqref="M437">
    <cfRule type="cellIs" dxfId="0" priority="695" operator="lessThan">
      <formula>30</formula>
    </cfRule>
  </conditionalFormatting>
  <conditionalFormatting sqref="M438">
    <cfRule type="cellIs" dxfId="0" priority="694" operator="lessThan">
      <formula>30</formula>
    </cfRule>
  </conditionalFormatting>
  <conditionalFormatting sqref="M439">
    <cfRule type="cellIs" dxfId="0" priority="693" operator="lessThan">
      <formula>30</formula>
    </cfRule>
  </conditionalFormatting>
  <conditionalFormatting sqref="M440">
    <cfRule type="cellIs" dxfId="0" priority="692" operator="lessThan">
      <formula>30</formula>
    </cfRule>
  </conditionalFormatting>
  <conditionalFormatting sqref="M441">
    <cfRule type="cellIs" dxfId="0" priority="691" operator="lessThan">
      <formula>30</formula>
    </cfRule>
  </conditionalFormatting>
  <conditionalFormatting sqref="M442">
    <cfRule type="cellIs" dxfId="0" priority="690" operator="lessThan">
      <formula>30</formula>
    </cfRule>
  </conditionalFormatting>
  <conditionalFormatting sqref="M443">
    <cfRule type="cellIs" dxfId="0" priority="689" operator="lessThan">
      <formula>30</formula>
    </cfRule>
  </conditionalFormatting>
  <conditionalFormatting sqref="M444">
    <cfRule type="cellIs" dxfId="0" priority="688" operator="lessThan">
      <formula>30</formula>
    </cfRule>
  </conditionalFormatting>
  <conditionalFormatting sqref="M445">
    <cfRule type="cellIs" dxfId="0" priority="687" operator="lessThan">
      <formula>30</formula>
    </cfRule>
  </conditionalFormatting>
  <conditionalFormatting sqref="M446">
    <cfRule type="cellIs" dxfId="0" priority="686" operator="lessThan">
      <formula>30</formula>
    </cfRule>
  </conditionalFormatting>
  <conditionalFormatting sqref="M447">
    <cfRule type="cellIs" dxfId="0" priority="685" operator="lessThan">
      <formula>30</formula>
    </cfRule>
  </conditionalFormatting>
  <conditionalFormatting sqref="M448">
    <cfRule type="cellIs" dxfId="0" priority="684" operator="lessThan">
      <formula>30</formula>
    </cfRule>
  </conditionalFormatting>
  <conditionalFormatting sqref="M449">
    <cfRule type="cellIs" dxfId="0" priority="683" operator="lessThan">
      <formula>30</formula>
    </cfRule>
  </conditionalFormatting>
  <conditionalFormatting sqref="M450">
    <cfRule type="cellIs" dxfId="0" priority="682" operator="lessThan">
      <formula>30</formula>
    </cfRule>
  </conditionalFormatting>
  <conditionalFormatting sqref="M451">
    <cfRule type="cellIs" dxfId="0" priority="681" operator="lessThan">
      <formula>30</formula>
    </cfRule>
  </conditionalFormatting>
  <conditionalFormatting sqref="M452">
    <cfRule type="cellIs" dxfId="0" priority="680" operator="lessThan">
      <formula>30</formula>
    </cfRule>
  </conditionalFormatting>
  <conditionalFormatting sqref="M453">
    <cfRule type="cellIs" dxfId="0" priority="679" operator="lessThan">
      <formula>30</formula>
    </cfRule>
  </conditionalFormatting>
  <conditionalFormatting sqref="M454">
    <cfRule type="cellIs" dxfId="0" priority="678" operator="lessThan">
      <formula>30</formula>
    </cfRule>
  </conditionalFormatting>
  <conditionalFormatting sqref="M455">
    <cfRule type="cellIs" dxfId="0" priority="677" operator="lessThan">
      <formula>30</formula>
    </cfRule>
  </conditionalFormatting>
  <conditionalFormatting sqref="M456">
    <cfRule type="cellIs" dxfId="0" priority="676" operator="lessThan">
      <formula>30</formula>
    </cfRule>
  </conditionalFormatting>
  <conditionalFormatting sqref="M457">
    <cfRule type="cellIs" dxfId="0" priority="675" operator="lessThan">
      <formula>30</formula>
    </cfRule>
  </conditionalFormatting>
  <conditionalFormatting sqref="M458">
    <cfRule type="cellIs" dxfId="0" priority="674" operator="lessThan">
      <formula>30</formula>
    </cfRule>
  </conditionalFormatting>
  <conditionalFormatting sqref="M459">
    <cfRule type="cellIs" dxfId="0" priority="673" operator="lessThan">
      <formula>30</formula>
    </cfRule>
  </conditionalFormatting>
  <conditionalFormatting sqref="M460">
    <cfRule type="cellIs" dxfId="0" priority="672" operator="lessThan">
      <formula>30</formula>
    </cfRule>
  </conditionalFormatting>
  <conditionalFormatting sqref="M461">
    <cfRule type="cellIs" dxfId="0" priority="671" operator="lessThan">
      <formula>30</formula>
    </cfRule>
  </conditionalFormatting>
  <conditionalFormatting sqref="M462">
    <cfRule type="cellIs" dxfId="0" priority="670" operator="lessThan">
      <formula>30</formula>
    </cfRule>
  </conditionalFormatting>
  <conditionalFormatting sqref="M463">
    <cfRule type="cellIs" dxfId="0" priority="669" operator="lessThan">
      <formula>30</formula>
    </cfRule>
  </conditionalFormatting>
  <conditionalFormatting sqref="M464">
    <cfRule type="cellIs" dxfId="0" priority="668" operator="lessThan">
      <formula>30</formula>
    </cfRule>
  </conditionalFormatting>
  <conditionalFormatting sqref="M465">
    <cfRule type="cellIs" dxfId="0" priority="667" operator="lessThan">
      <formula>30</formula>
    </cfRule>
  </conditionalFormatting>
  <conditionalFormatting sqref="M466">
    <cfRule type="cellIs" dxfId="0" priority="666" operator="lessThan">
      <formula>30</formula>
    </cfRule>
  </conditionalFormatting>
  <conditionalFormatting sqref="M467">
    <cfRule type="cellIs" dxfId="0" priority="665" operator="lessThan">
      <formula>30</formula>
    </cfRule>
  </conditionalFormatting>
  <conditionalFormatting sqref="M468">
    <cfRule type="cellIs" dxfId="0" priority="664" operator="lessThan">
      <formula>30</formula>
    </cfRule>
  </conditionalFormatting>
  <conditionalFormatting sqref="M469">
    <cfRule type="cellIs" dxfId="0" priority="663" operator="lessThan">
      <formula>30</formula>
    </cfRule>
  </conditionalFormatting>
  <conditionalFormatting sqref="M470">
    <cfRule type="cellIs" dxfId="0" priority="662" operator="lessThan">
      <formula>30</formula>
    </cfRule>
  </conditionalFormatting>
  <conditionalFormatting sqref="M471">
    <cfRule type="cellIs" dxfId="0" priority="661" operator="lessThan">
      <formula>30</formula>
    </cfRule>
  </conditionalFormatting>
  <conditionalFormatting sqref="M472">
    <cfRule type="cellIs" dxfId="0" priority="660" operator="lessThan">
      <formula>30</formula>
    </cfRule>
  </conditionalFormatting>
  <conditionalFormatting sqref="M473">
    <cfRule type="cellIs" dxfId="0" priority="659" operator="lessThan">
      <formula>30</formula>
    </cfRule>
  </conditionalFormatting>
  <conditionalFormatting sqref="M474">
    <cfRule type="cellIs" dxfId="0" priority="658" operator="lessThan">
      <formula>30</formula>
    </cfRule>
  </conditionalFormatting>
  <conditionalFormatting sqref="M475">
    <cfRule type="cellIs" dxfId="0" priority="657" operator="lessThan">
      <formula>30</formula>
    </cfRule>
  </conditionalFormatting>
  <conditionalFormatting sqref="M476">
    <cfRule type="cellIs" dxfId="0" priority="656" operator="lessThan">
      <formula>30</formula>
    </cfRule>
  </conditionalFormatting>
  <conditionalFormatting sqref="M477">
    <cfRule type="cellIs" dxfId="0" priority="655" operator="lessThan">
      <formula>30</formula>
    </cfRule>
  </conditionalFormatting>
  <conditionalFormatting sqref="M478">
    <cfRule type="cellIs" dxfId="0" priority="654" operator="lessThan">
      <formula>30</formula>
    </cfRule>
  </conditionalFormatting>
  <conditionalFormatting sqref="M479">
    <cfRule type="cellIs" dxfId="0" priority="653" operator="lessThan">
      <formula>30</formula>
    </cfRule>
  </conditionalFormatting>
  <conditionalFormatting sqref="M480">
    <cfRule type="cellIs" dxfId="0" priority="652" operator="lessThan">
      <formula>30</formula>
    </cfRule>
  </conditionalFormatting>
  <conditionalFormatting sqref="M481">
    <cfRule type="cellIs" dxfId="0" priority="651" operator="lessThan">
      <formula>30</formula>
    </cfRule>
  </conditionalFormatting>
  <conditionalFormatting sqref="M482">
    <cfRule type="cellIs" dxfId="0" priority="650" operator="lessThan">
      <formula>30</formula>
    </cfRule>
  </conditionalFormatting>
  <conditionalFormatting sqref="M483">
    <cfRule type="cellIs" dxfId="0" priority="649" operator="lessThan">
      <formula>30</formula>
    </cfRule>
  </conditionalFormatting>
  <conditionalFormatting sqref="M484">
    <cfRule type="cellIs" dxfId="0" priority="648" operator="lessThan">
      <formula>30</formula>
    </cfRule>
  </conditionalFormatting>
  <conditionalFormatting sqref="M485">
    <cfRule type="cellIs" dxfId="0" priority="647" operator="lessThan">
      <formula>30</formula>
    </cfRule>
  </conditionalFormatting>
  <conditionalFormatting sqref="M486">
    <cfRule type="cellIs" dxfId="0" priority="646" operator="lessThan">
      <formula>30</formula>
    </cfRule>
  </conditionalFormatting>
  <conditionalFormatting sqref="M487">
    <cfRule type="cellIs" dxfId="0" priority="645" operator="lessThan">
      <formula>30</formula>
    </cfRule>
  </conditionalFormatting>
  <conditionalFormatting sqref="M488">
    <cfRule type="cellIs" dxfId="0" priority="644" operator="lessThan">
      <formula>30</formula>
    </cfRule>
  </conditionalFormatting>
  <conditionalFormatting sqref="M489">
    <cfRule type="cellIs" dxfId="0" priority="643" operator="lessThan">
      <formula>30</formula>
    </cfRule>
  </conditionalFormatting>
  <conditionalFormatting sqref="M490">
    <cfRule type="cellIs" dxfId="0" priority="642" operator="lessThan">
      <formula>30</formula>
    </cfRule>
  </conditionalFormatting>
  <conditionalFormatting sqref="M491">
    <cfRule type="cellIs" dxfId="0" priority="641" operator="lessThan">
      <formula>30</formula>
    </cfRule>
  </conditionalFormatting>
  <conditionalFormatting sqref="M492">
    <cfRule type="cellIs" dxfId="0" priority="640" operator="lessThan">
      <formula>30</formula>
    </cfRule>
  </conditionalFormatting>
  <conditionalFormatting sqref="M493">
    <cfRule type="cellIs" dxfId="0" priority="639" operator="lessThan">
      <formula>30</formula>
    </cfRule>
  </conditionalFormatting>
  <conditionalFormatting sqref="M494">
    <cfRule type="cellIs" dxfId="0" priority="638" operator="lessThan">
      <formula>30</formula>
    </cfRule>
  </conditionalFormatting>
  <conditionalFormatting sqref="M495">
    <cfRule type="cellIs" dxfId="0" priority="637" operator="lessThan">
      <formula>30</formula>
    </cfRule>
  </conditionalFormatting>
  <conditionalFormatting sqref="M496">
    <cfRule type="cellIs" dxfId="0" priority="636" operator="lessThan">
      <formula>30</formula>
    </cfRule>
  </conditionalFormatting>
  <conditionalFormatting sqref="M497">
    <cfRule type="cellIs" dxfId="0" priority="635" operator="lessThan">
      <formula>30</formula>
    </cfRule>
  </conditionalFormatting>
  <conditionalFormatting sqref="M498">
    <cfRule type="cellIs" dxfId="0" priority="634" operator="lessThan">
      <formula>30</formula>
    </cfRule>
  </conditionalFormatting>
  <conditionalFormatting sqref="M499">
    <cfRule type="cellIs" dxfId="0" priority="633" operator="lessThan">
      <formula>30</formula>
    </cfRule>
  </conditionalFormatting>
  <conditionalFormatting sqref="M500">
    <cfRule type="cellIs" dxfId="0" priority="632" operator="lessThan">
      <formula>30</formula>
    </cfRule>
  </conditionalFormatting>
  <conditionalFormatting sqref="M501">
    <cfRule type="cellIs" dxfId="0" priority="631" operator="lessThan">
      <formula>30</formula>
    </cfRule>
  </conditionalFormatting>
  <conditionalFormatting sqref="M502">
    <cfRule type="cellIs" dxfId="0" priority="630" operator="lessThan">
      <formula>30</formula>
    </cfRule>
  </conditionalFormatting>
  <conditionalFormatting sqref="M503">
    <cfRule type="cellIs" dxfId="0" priority="629" operator="lessThan">
      <formula>30</formula>
    </cfRule>
  </conditionalFormatting>
  <conditionalFormatting sqref="M504">
    <cfRule type="cellIs" dxfId="0" priority="628" operator="lessThan">
      <formula>30</formula>
    </cfRule>
  </conditionalFormatting>
  <conditionalFormatting sqref="M505">
    <cfRule type="cellIs" dxfId="0" priority="627" operator="lessThan">
      <formula>30</formula>
    </cfRule>
  </conditionalFormatting>
  <conditionalFormatting sqref="M506">
    <cfRule type="cellIs" dxfId="0" priority="626" operator="lessThan">
      <formula>30</formula>
    </cfRule>
  </conditionalFormatting>
  <conditionalFormatting sqref="M507">
    <cfRule type="cellIs" dxfId="0" priority="625" operator="lessThan">
      <formula>30</formula>
    </cfRule>
  </conditionalFormatting>
  <conditionalFormatting sqref="M508">
    <cfRule type="cellIs" dxfId="0" priority="624" operator="lessThan">
      <formula>30</formula>
    </cfRule>
  </conditionalFormatting>
  <conditionalFormatting sqref="M509">
    <cfRule type="cellIs" dxfId="0" priority="623" operator="lessThan">
      <formula>30</formula>
    </cfRule>
  </conditionalFormatting>
  <conditionalFormatting sqref="M510">
    <cfRule type="cellIs" dxfId="0" priority="622" operator="lessThan">
      <formula>30</formula>
    </cfRule>
  </conditionalFormatting>
  <conditionalFormatting sqref="M511">
    <cfRule type="cellIs" dxfId="0" priority="621" operator="lessThan">
      <formula>30</formula>
    </cfRule>
  </conditionalFormatting>
  <conditionalFormatting sqref="M512">
    <cfRule type="cellIs" dxfId="0" priority="620" operator="lessThan">
      <formula>30</formula>
    </cfRule>
  </conditionalFormatting>
  <conditionalFormatting sqref="M513">
    <cfRule type="cellIs" dxfId="0" priority="619" operator="lessThan">
      <formula>30</formula>
    </cfRule>
  </conditionalFormatting>
  <conditionalFormatting sqref="M514">
    <cfRule type="cellIs" dxfId="0" priority="618" operator="lessThan">
      <formula>30</formula>
    </cfRule>
  </conditionalFormatting>
  <conditionalFormatting sqref="M515">
    <cfRule type="cellIs" dxfId="0" priority="617" operator="lessThan">
      <formula>30</formula>
    </cfRule>
  </conditionalFormatting>
  <conditionalFormatting sqref="M516">
    <cfRule type="cellIs" dxfId="0" priority="616" operator="lessThan">
      <formula>30</formula>
    </cfRule>
  </conditionalFormatting>
  <conditionalFormatting sqref="M517">
    <cfRule type="cellIs" dxfId="0" priority="615" operator="lessThan">
      <formula>30</formula>
    </cfRule>
  </conditionalFormatting>
  <conditionalFormatting sqref="M518">
    <cfRule type="cellIs" dxfId="0" priority="614" operator="lessThan">
      <formula>30</formula>
    </cfRule>
  </conditionalFormatting>
  <conditionalFormatting sqref="M519">
    <cfRule type="cellIs" dxfId="0" priority="613" operator="lessThan">
      <formula>30</formula>
    </cfRule>
  </conditionalFormatting>
  <conditionalFormatting sqref="M520">
    <cfRule type="cellIs" dxfId="0" priority="612" operator="lessThan">
      <formula>30</formula>
    </cfRule>
  </conditionalFormatting>
  <conditionalFormatting sqref="M521">
    <cfRule type="cellIs" dxfId="0" priority="611" operator="lessThan">
      <formula>30</formula>
    </cfRule>
  </conditionalFormatting>
  <conditionalFormatting sqref="M522">
    <cfRule type="cellIs" dxfId="0" priority="610" operator="lessThan">
      <formula>30</formula>
    </cfRule>
  </conditionalFormatting>
  <conditionalFormatting sqref="M523">
    <cfRule type="cellIs" dxfId="0" priority="609" operator="lessThan">
      <formula>30</formula>
    </cfRule>
  </conditionalFormatting>
  <conditionalFormatting sqref="M524">
    <cfRule type="cellIs" dxfId="0" priority="608" operator="lessThan">
      <formula>30</formula>
    </cfRule>
  </conditionalFormatting>
  <conditionalFormatting sqref="M525">
    <cfRule type="cellIs" dxfId="0" priority="607" operator="lessThan">
      <formula>30</formula>
    </cfRule>
  </conditionalFormatting>
  <conditionalFormatting sqref="M526">
    <cfRule type="cellIs" dxfId="0" priority="606" operator="lessThan">
      <formula>30</formula>
    </cfRule>
  </conditionalFormatting>
  <conditionalFormatting sqref="M527">
    <cfRule type="cellIs" dxfId="0" priority="605" operator="lessThan">
      <formula>30</formula>
    </cfRule>
  </conditionalFormatting>
  <conditionalFormatting sqref="M528">
    <cfRule type="cellIs" dxfId="0" priority="604" operator="lessThan">
      <formula>30</formula>
    </cfRule>
  </conditionalFormatting>
  <conditionalFormatting sqref="M529">
    <cfRule type="cellIs" dxfId="0" priority="603" operator="lessThan">
      <formula>30</formula>
    </cfRule>
  </conditionalFormatting>
  <conditionalFormatting sqref="M530">
    <cfRule type="cellIs" dxfId="0" priority="602" operator="lessThan">
      <formula>30</formula>
    </cfRule>
  </conditionalFormatting>
  <conditionalFormatting sqref="M531">
    <cfRule type="cellIs" dxfId="0" priority="601" operator="lessThan">
      <formula>30</formula>
    </cfRule>
  </conditionalFormatting>
  <conditionalFormatting sqref="M532">
    <cfRule type="cellIs" dxfId="0" priority="600" operator="lessThan">
      <formula>30</formula>
    </cfRule>
  </conditionalFormatting>
  <conditionalFormatting sqref="M533">
    <cfRule type="cellIs" dxfId="0" priority="599" operator="lessThan">
      <formula>30</formula>
    </cfRule>
  </conditionalFormatting>
  <conditionalFormatting sqref="M534">
    <cfRule type="cellIs" dxfId="0" priority="598" operator="lessThan">
      <formula>30</formula>
    </cfRule>
  </conditionalFormatting>
  <conditionalFormatting sqref="M535">
    <cfRule type="cellIs" dxfId="0" priority="597" operator="lessThan">
      <formula>30</formula>
    </cfRule>
  </conditionalFormatting>
  <conditionalFormatting sqref="M536">
    <cfRule type="cellIs" dxfId="0" priority="596" operator="lessThan">
      <formula>30</formula>
    </cfRule>
  </conditionalFormatting>
  <conditionalFormatting sqref="M537">
    <cfRule type="cellIs" dxfId="0" priority="595" operator="lessThan">
      <formula>30</formula>
    </cfRule>
  </conditionalFormatting>
  <conditionalFormatting sqref="M538">
    <cfRule type="cellIs" dxfId="0" priority="594" operator="lessThan">
      <formula>30</formula>
    </cfRule>
  </conditionalFormatting>
  <conditionalFormatting sqref="M539">
    <cfRule type="cellIs" dxfId="0" priority="593" operator="lessThan">
      <formula>30</formula>
    </cfRule>
  </conditionalFormatting>
  <conditionalFormatting sqref="M540">
    <cfRule type="cellIs" dxfId="0" priority="592" operator="lessThan">
      <formula>30</formula>
    </cfRule>
  </conditionalFormatting>
  <conditionalFormatting sqref="M541">
    <cfRule type="cellIs" dxfId="0" priority="591" operator="lessThan">
      <formula>30</formula>
    </cfRule>
  </conditionalFormatting>
  <conditionalFormatting sqref="M542">
    <cfRule type="cellIs" dxfId="0" priority="590" operator="lessThan">
      <formula>30</formula>
    </cfRule>
  </conditionalFormatting>
  <conditionalFormatting sqref="M543">
    <cfRule type="cellIs" dxfId="0" priority="589" operator="lessThan">
      <formula>30</formula>
    </cfRule>
  </conditionalFormatting>
  <conditionalFormatting sqref="M544">
    <cfRule type="cellIs" dxfId="0" priority="588" operator="lessThan">
      <formula>30</formula>
    </cfRule>
  </conditionalFormatting>
  <conditionalFormatting sqref="M545">
    <cfRule type="cellIs" dxfId="0" priority="587" operator="lessThan">
      <formula>30</formula>
    </cfRule>
  </conditionalFormatting>
  <conditionalFormatting sqref="M546">
    <cfRule type="cellIs" dxfId="0" priority="586" operator="lessThan">
      <formula>30</formula>
    </cfRule>
  </conditionalFormatting>
  <conditionalFormatting sqref="M547">
    <cfRule type="cellIs" dxfId="0" priority="585" operator="lessThan">
      <formula>30</formula>
    </cfRule>
  </conditionalFormatting>
  <conditionalFormatting sqref="M548">
    <cfRule type="cellIs" dxfId="0" priority="584" operator="lessThan">
      <formula>30</formula>
    </cfRule>
  </conditionalFormatting>
  <conditionalFormatting sqref="M549">
    <cfRule type="cellIs" dxfId="0" priority="583" operator="lessThan">
      <formula>30</formula>
    </cfRule>
  </conditionalFormatting>
  <conditionalFormatting sqref="M550">
    <cfRule type="cellIs" dxfId="0" priority="582" operator="lessThan">
      <formula>30</formula>
    </cfRule>
  </conditionalFormatting>
  <conditionalFormatting sqref="M551">
    <cfRule type="cellIs" dxfId="0" priority="581" operator="lessThan">
      <formula>30</formula>
    </cfRule>
  </conditionalFormatting>
  <conditionalFormatting sqref="M552">
    <cfRule type="cellIs" dxfId="0" priority="580" operator="lessThan">
      <formula>30</formula>
    </cfRule>
  </conditionalFormatting>
  <conditionalFormatting sqref="M553">
    <cfRule type="cellIs" dxfId="0" priority="579" operator="lessThan">
      <formula>30</formula>
    </cfRule>
  </conditionalFormatting>
  <conditionalFormatting sqref="M554">
    <cfRule type="cellIs" dxfId="0" priority="578" operator="lessThan">
      <formula>30</formula>
    </cfRule>
  </conditionalFormatting>
  <conditionalFormatting sqref="M555">
    <cfRule type="cellIs" dxfId="0" priority="577" operator="lessThan">
      <formula>30</formula>
    </cfRule>
  </conditionalFormatting>
  <conditionalFormatting sqref="M556">
    <cfRule type="cellIs" dxfId="0" priority="576" operator="lessThan">
      <formula>30</formula>
    </cfRule>
  </conditionalFormatting>
  <conditionalFormatting sqref="M557">
    <cfRule type="cellIs" dxfId="0" priority="575" operator="lessThan">
      <formula>30</formula>
    </cfRule>
  </conditionalFormatting>
  <conditionalFormatting sqref="M558">
    <cfRule type="cellIs" dxfId="0" priority="574" operator="lessThan">
      <formula>30</formula>
    </cfRule>
  </conditionalFormatting>
  <conditionalFormatting sqref="M559">
    <cfRule type="cellIs" dxfId="0" priority="573" operator="lessThan">
      <formula>30</formula>
    </cfRule>
  </conditionalFormatting>
  <conditionalFormatting sqref="M560">
    <cfRule type="cellIs" dxfId="0" priority="572" operator="lessThan">
      <formula>30</formula>
    </cfRule>
  </conditionalFormatting>
  <conditionalFormatting sqref="M561">
    <cfRule type="cellIs" dxfId="0" priority="571" operator="lessThan">
      <formula>30</formula>
    </cfRule>
  </conditionalFormatting>
  <conditionalFormatting sqref="M562">
    <cfRule type="cellIs" dxfId="0" priority="570" operator="lessThan">
      <formula>30</formula>
    </cfRule>
  </conditionalFormatting>
  <conditionalFormatting sqref="M563">
    <cfRule type="cellIs" dxfId="0" priority="569" operator="lessThan">
      <formula>30</formula>
    </cfRule>
  </conditionalFormatting>
  <conditionalFormatting sqref="M564">
    <cfRule type="cellIs" dxfId="0" priority="568" operator="lessThan">
      <formula>30</formula>
    </cfRule>
  </conditionalFormatting>
  <conditionalFormatting sqref="M565">
    <cfRule type="cellIs" dxfId="0" priority="567" operator="lessThan">
      <formula>30</formula>
    </cfRule>
  </conditionalFormatting>
  <conditionalFormatting sqref="M566">
    <cfRule type="cellIs" dxfId="0" priority="566" operator="lessThan">
      <formula>30</formula>
    </cfRule>
  </conditionalFormatting>
  <conditionalFormatting sqref="M567">
    <cfRule type="cellIs" dxfId="0" priority="565" operator="lessThan">
      <formula>30</formula>
    </cfRule>
  </conditionalFormatting>
  <conditionalFormatting sqref="M568">
    <cfRule type="cellIs" dxfId="0" priority="564" operator="lessThan">
      <formula>30</formula>
    </cfRule>
  </conditionalFormatting>
  <conditionalFormatting sqref="M569">
    <cfRule type="cellIs" dxfId="0" priority="563" operator="lessThan">
      <formula>30</formula>
    </cfRule>
  </conditionalFormatting>
  <conditionalFormatting sqref="M570">
    <cfRule type="cellIs" dxfId="0" priority="562" operator="lessThan">
      <formula>30</formula>
    </cfRule>
  </conditionalFormatting>
  <conditionalFormatting sqref="M571">
    <cfRule type="cellIs" dxfId="0" priority="561" operator="lessThan">
      <formula>30</formula>
    </cfRule>
  </conditionalFormatting>
  <conditionalFormatting sqref="M572">
    <cfRule type="cellIs" dxfId="0" priority="560" operator="lessThan">
      <formula>30</formula>
    </cfRule>
  </conditionalFormatting>
  <conditionalFormatting sqref="M573">
    <cfRule type="cellIs" dxfId="0" priority="559" operator="lessThan">
      <formula>30</formula>
    </cfRule>
  </conditionalFormatting>
  <conditionalFormatting sqref="M574">
    <cfRule type="cellIs" dxfId="0" priority="558" operator="lessThan">
      <formula>30</formula>
    </cfRule>
  </conditionalFormatting>
  <conditionalFormatting sqref="M575">
    <cfRule type="cellIs" dxfId="0" priority="557" operator="lessThan">
      <formula>30</formula>
    </cfRule>
  </conditionalFormatting>
  <conditionalFormatting sqref="M576">
    <cfRule type="cellIs" dxfId="0" priority="556" operator="lessThan">
      <formula>30</formula>
    </cfRule>
  </conditionalFormatting>
  <conditionalFormatting sqref="M577">
    <cfRule type="cellIs" dxfId="0" priority="555" operator="lessThan">
      <formula>30</formula>
    </cfRule>
  </conditionalFormatting>
  <conditionalFormatting sqref="M578">
    <cfRule type="cellIs" dxfId="0" priority="554" operator="lessThan">
      <formula>30</formula>
    </cfRule>
  </conditionalFormatting>
  <conditionalFormatting sqref="M579">
    <cfRule type="cellIs" dxfId="0" priority="553" operator="lessThan">
      <formula>30</formula>
    </cfRule>
  </conditionalFormatting>
  <conditionalFormatting sqref="M580">
    <cfRule type="cellIs" dxfId="0" priority="552" operator="lessThan">
      <formula>30</formula>
    </cfRule>
  </conditionalFormatting>
  <conditionalFormatting sqref="M581">
    <cfRule type="cellIs" dxfId="0" priority="551" operator="lessThan">
      <formula>30</formula>
    </cfRule>
  </conditionalFormatting>
  <conditionalFormatting sqref="M582">
    <cfRule type="cellIs" dxfId="0" priority="550" operator="lessThan">
      <formula>30</formula>
    </cfRule>
  </conditionalFormatting>
  <conditionalFormatting sqref="M583">
    <cfRule type="cellIs" dxfId="0" priority="549" operator="lessThan">
      <formula>30</formula>
    </cfRule>
  </conditionalFormatting>
  <conditionalFormatting sqref="M584">
    <cfRule type="cellIs" dxfId="0" priority="548" operator="lessThan">
      <formula>30</formula>
    </cfRule>
  </conditionalFormatting>
  <conditionalFormatting sqref="M585">
    <cfRule type="cellIs" dxfId="0" priority="547" operator="lessThan">
      <formula>30</formula>
    </cfRule>
  </conditionalFormatting>
  <conditionalFormatting sqref="M586">
    <cfRule type="cellIs" dxfId="0" priority="546" operator="lessThan">
      <formula>30</formula>
    </cfRule>
  </conditionalFormatting>
  <conditionalFormatting sqref="M587">
    <cfRule type="cellIs" dxfId="0" priority="545" operator="lessThan">
      <formula>30</formula>
    </cfRule>
  </conditionalFormatting>
  <conditionalFormatting sqref="M588">
    <cfRule type="cellIs" dxfId="0" priority="544" operator="lessThan">
      <formula>30</formula>
    </cfRule>
  </conditionalFormatting>
  <conditionalFormatting sqref="Z588">
    <cfRule type="cellIs" dxfId="0" priority="1171" operator="lessThan">
      <formula>30</formula>
    </cfRule>
  </conditionalFormatting>
  <conditionalFormatting sqref="M589">
    <cfRule type="cellIs" dxfId="0" priority="543" operator="lessThan">
      <formula>30</formula>
    </cfRule>
  </conditionalFormatting>
  <conditionalFormatting sqref="M590">
    <cfRule type="cellIs" dxfId="0" priority="542" operator="lessThan">
      <formula>30</formula>
    </cfRule>
  </conditionalFormatting>
  <conditionalFormatting sqref="M591">
    <cfRule type="cellIs" dxfId="0" priority="541" operator="lessThan">
      <formula>30</formula>
    </cfRule>
  </conditionalFormatting>
  <conditionalFormatting sqref="M592">
    <cfRule type="cellIs" dxfId="0" priority="540" operator="lessThan">
      <formula>30</formula>
    </cfRule>
  </conditionalFormatting>
  <conditionalFormatting sqref="M593">
    <cfRule type="cellIs" dxfId="0" priority="539" operator="lessThan">
      <formula>30</formula>
    </cfRule>
  </conditionalFormatting>
  <conditionalFormatting sqref="M594">
    <cfRule type="cellIs" dxfId="0" priority="538" operator="lessThan">
      <formula>30</formula>
    </cfRule>
  </conditionalFormatting>
  <conditionalFormatting sqref="M595">
    <cfRule type="cellIs" dxfId="0" priority="537" operator="lessThan">
      <formula>30</formula>
    </cfRule>
  </conditionalFormatting>
  <conditionalFormatting sqref="M596">
    <cfRule type="cellIs" dxfId="0" priority="536" operator="lessThan">
      <formula>30</formula>
    </cfRule>
  </conditionalFormatting>
  <conditionalFormatting sqref="M597">
    <cfRule type="cellIs" dxfId="0" priority="535" operator="lessThan">
      <formula>30</formula>
    </cfRule>
  </conditionalFormatting>
  <conditionalFormatting sqref="M598">
    <cfRule type="cellIs" dxfId="0" priority="534" operator="lessThan">
      <formula>30</formula>
    </cfRule>
  </conditionalFormatting>
  <conditionalFormatting sqref="M599">
    <cfRule type="cellIs" dxfId="0" priority="533" operator="lessThan">
      <formula>30</formula>
    </cfRule>
  </conditionalFormatting>
  <conditionalFormatting sqref="M600">
    <cfRule type="cellIs" dxfId="0" priority="532" operator="lessThan">
      <formula>30</formula>
    </cfRule>
  </conditionalFormatting>
  <conditionalFormatting sqref="M601">
    <cfRule type="cellIs" dxfId="0" priority="531" operator="lessThan">
      <formula>30</formula>
    </cfRule>
  </conditionalFormatting>
  <conditionalFormatting sqref="M602">
    <cfRule type="cellIs" dxfId="0" priority="530" operator="lessThan">
      <formula>30</formula>
    </cfRule>
  </conditionalFormatting>
  <conditionalFormatting sqref="M603">
    <cfRule type="cellIs" dxfId="0" priority="529" operator="lessThan">
      <formula>30</formula>
    </cfRule>
  </conditionalFormatting>
  <conditionalFormatting sqref="M604">
    <cfRule type="cellIs" dxfId="0" priority="528" operator="lessThan">
      <formula>30</formula>
    </cfRule>
  </conditionalFormatting>
  <conditionalFormatting sqref="M605">
    <cfRule type="cellIs" dxfId="0" priority="527" operator="lessThan">
      <formula>30</formula>
    </cfRule>
  </conditionalFormatting>
  <conditionalFormatting sqref="M606">
    <cfRule type="cellIs" dxfId="0" priority="526" operator="lessThan">
      <formula>30</formula>
    </cfRule>
  </conditionalFormatting>
  <conditionalFormatting sqref="M607">
    <cfRule type="cellIs" dxfId="0" priority="525" operator="lessThan">
      <formula>30</formula>
    </cfRule>
  </conditionalFormatting>
  <conditionalFormatting sqref="M608">
    <cfRule type="cellIs" dxfId="0" priority="524" operator="lessThan">
      <formula>30</formula>
    </cfRule>
  </conditionalFormatting>
  <conditionalFormatting sqref="M609">
    <cfRule type="cellIs" dxfId="0" priority="523" operator="lessThan">
      <formula>30</formula>
    </cfRule>
  </conditionalFormatting>
  <conditionalFormatting sqref="M610">
    <cfRule type="cellIs" dxfId="0" priority="522" operator="lessThan">
      <formula>30</formula>
    </cfRule>
  </conditionalFormatting>
  <conditionalFormatting sqref="M611">
    <cfRule type="cellIs" dxfId="0" priority="521" operator="lessThan">
      <formula>30</formula>
    </cfRule>
  </conditionalFormatting>
  <conditionalFormatting sqref="M612">
    <cfRule type="cellIs" dxfId="0" priority="520" operator="lessThan">
      <formula>30</formula>
    </cfRule>
  </conditionalFormatting>
  <conditionalFormatting sqref="M613">
    <cfRule type="cellIs" dxfId="0" priority="519" operator="lessThan">
      <formula>30</formula>
    </cfRule>
  </conditionalFormatting>
  <conditionalFormatting sqref="M614">
    <cfRule type="cellIs" dxfId="0" priority="518" operator="lessThan">
      <formula>30</formula>
    </cfRule>
  </conditionalFormatting>
  <conditionalFormatting sqref="M615">
    <cfRule type="cellIs" dxfId="0" priority="517" operator="lessThan">
      <formula>30</formula>
    </cfRule>
  </conditionalFormatting>
  <conditionalFormatting sqref="M616">
    <cfRule type="cellIs" dxfId="0" priority="516" operator="lessThan">
      <formula>30</formula>
    </cfRule>
  </conditionalFormatting>
  <conditionalFormatting sqref="M617">
    <cfRule type="cellIs" dxfId="0" priority="515" operator="lessThan">
      <formula>30</formula>
    </cfRule>
  </conditionalFormatting>
  <conditionalFormatting sqref="M618">
    <cfRule type="cellIs" dxfId="0" priority="514" operator="lessThan">
      <formula>30</formula>
    </cfRule>
  </conditionalFormatting>
  <conditionalFormatting sqref="M619">
    <cfRule type="cellIs" dxfId="0" priority="513" operator="lessThan">
      <formula>30</formula>
    </cfRule>
  </conditionalFormatting>
  <conditionalFormatting sqref="M620">
    <cfRule type="cellIs" dxfId="0" priority="512" operator="lessThan">
      <formula>30</formula>
    </cfRule>
  </conditionalFormatting>
  <conditionalFormatting sqref="M621">
    <cfRule type="cellIs" dxfId="0" priority="511" operator="lessThan">
      <formula>30</formula>
    </cfRule>
  </conditionalFormatting>
  <conditionalFormatting sqref="M622">
    <cfRule type="cellIs" dxfId="0" priority="510" operator="lessThan">
      <formula>30</formula>
    </cfRule>
  </conditionalFormatting>
  <conditionalFormatting sqref="M623">
    <cfRule type="cellIs" dxfId="0" priority="509" operator="lessThan">
      <formula>30</formula>
    </cfRule>
  </conditionalFormatting>
  <conditionalFormatting sqref="M624">
    <cfRule type="cellIs" dxfId="0" priority="508" operator="lessThan">
      <formula>30</formula>
    </cfRule>
  </conditionalFormatting>
  <conditionalFormatting sqref="M625">
    <cfRule type="cellIs" dxfId="0" priority="507" operator="lessThan">
      <formula>30</formula>
    </cfRule>
  </conditionalFormatting>
  <conditionalFormatting sqref="M626">
    <cfRule type="cellIs" dxfId="0" priority="506" operator="lessThan">
      <formula>30</formula>
    </cfRule>
  </conditionalFormatting>
  <conditionalFormatting sqref="M627">
    <cfRule type="cellIs" dxfId="0" priority="505" operator="lessThan">
      <formula>30</formula>
    </cfRule>
  </conditionalFormatting>
  <conditionalFormatting sqref="M628">
    <cfRule type="cellIs" dxfId="0" priority="504" operator="lessThan">
      <formula>30</formula>
    </cfRule>
  </conditionalFormatting>
  <conditionalFormatting sqref="M629">
    <cfRule type="cellIs" dxfId="0" priority="503" operator="lessThan">
      <formula>30</formula>
    </cfRule>
  </conditionalFormatting>
  <conditionalFormatting sqref="M630">
    <cfRule type="cellIs" dxfId="0" priority="502" operator="lessThan">
      <formula>30</formula>
    </cfRule>
  </conditionalFormatting>
  <conditionalFormatting sqref="M631">
    <cfRule type="cellIs" dxfId="0" priority="501" operator="lessThan">
      <formula>30</formula>
    </cfRule>
  </conditionalFormatting>
  <conditionalFormatting sqref="M632">
    <cfRule type="cellIs" dxfId="0" priority="500" operator="lessThan">
      <formula>30</formula>
    </cfRule>
  </conditionalFormatting>
  <conditionalFormatting sqref="M633">
    <cfRule type="cellIs" dxfId="0" priority="499" operator="lessThan">
      <formula>30</formula>
    </cfRule>
  </conditionalFormatting>
  <conditionalFormatting sqref="M634">
    <cfRule type="cellIs" dxfId="0" priority="498" operator="lessThan">
      <formula>30</formula>
    </cfRule>
  </conditionalFormatting>
  <conditionalFormatting sqref="M635">
    <cfRule type="cellIs" dxfId="0" priority="497" operator="lessThan">
      <formula>30</formula>
    </cfRule>
  </conditionalFormatting>
  <conditionalFormatting sqref="M636">
    <cfRule type="cellIs" dxfId="0" priority="496" operator="lessThan">
      <formula>30</formula>
    </cfRule>
  </conditionalFormatting>
  <conditionalFormatting sqref="M637">
    <cfRule type="cellIs" dxfId="0" priority="495" operator="lessThan">
      <formula>30</formula>
    </cfRule>
  </conditionalFormatting>
  <conditionalFormatting sqref="M638">
    <cfRule type="cellIs" dxfId="0" priority="494" operator="lessThan">
      <formula>30</formula>
    </cfRule>
  </conditionalFormatting>
  <conditionalFormatting sqref="M639">
    <cfRule type="cellIs" dxfId="0" priority="493" operator="lessThan">
      <formula>30</formula>
    </cfRule>
  </conditionalFormatting>
  <conditionalFormatting sqref="M640">
    <cfRule type="cellIs" dxfId="0" priority="492" operator="lessThan">
      <formula>30</formula>
    </cfRule>
  </conditionalFormatting>
  <conditionalFormatting sqref="M641">
    <cfRule type="cellIs" dxfId="0" priority="491" operator="lessThan">
      <formula>30</formula>
    </cfRule>
  </conditionalFormatting>
  <conditionalFormatting sqref="M642">
    <cfRule type="cellIs" dxfId="0" priority="490" operator="lessThan">
      <formula>30</formula>
    </cfRule>
  </conditionalFormatting>
  <conditionalFormatting sqref="M643">
    <cfRule type="cellIs" dxfId="0" priority="489" operator="lessThan">
      <formula>30</formula>
    </cfRule>
  </conditionalFormatting>
  <conditionalFormatting sqref="M644">
    <cfRule type="cellIs" dxfId="0" priority="488" operator="lessThan">
      <formula>30</formula>
    </cfRule>
  </conditionalFormatting>
  <conditionalFormatting sqref="M645">
    <cfRule type="cellIs" dxfId="0" priority="487" operator="lessThan">
      <formula>30</formula>
    </cfRule>
  </conditionalFormatting>
  <conditionalFormatting sqref="M646">
    <cfRule type="cellIs" dxfId="0" priority="486" operator="lessThan">
      <formula>30</formula>
    </cfRule>
  </conditionalFormatting>
  <conditionalFormatting sqref="M647">
    <cfRule type="cellIs" dxfId="0" priority="485" operator="lessThan">
      <formula>30</formula>
    </cfRule>
  </conditionalFormatting>
  <conditionalFormatting sqref="M648">
    <cfRule type="cellIs" dxfId="0" priority="484" operator="lessThan">
      <formula>30</formula>
    </cfRule>
  </conditionalFormatting>
  <conditionalFormatting sqref="M649">
    <cfRule type="cellIs" dxfId="0" priority="483" operator="lessThan">
      <formula>30</formula>
    </cfRule>
  </conditionalFormatting>
  <conditionalFormatting sqref="M650">
    <cfRule type="cellIs" dxfId="0" priority="482" operator="lessThan">
      <formula>30</formula>
    </cfRule>
  </conditionalFormatting>
  <conditionalFormatting sqref="M651">
    <cfRule type="cellIs" dxfId="0" priority="481" operator="lessThan">
      <formula>30</formula>
    </cfRule>
  </conditionalFormatting>
  <conditionalFormatting sqref="M652">
    <cfRule type="cellIs" dxfId="0" priority="480" operator="lessThan">
      <formula>30</formula>
    </cfRule>
  </conditionalFormatting>
  <conditionalFormatting sqref="M653">
    <cfRule type="cellIs" dxfId="0" priority="479" operator="lessThan">
      <formula>30</formula>
    </cfRule>
  </conditionalFormatting>
  <conditionalFormatting sqref="M654">
    <cfRule type="cellIs" dxfId="0" priority="478" operator="lessThan">
      <formula>30</formula>
    </cfRule>
  </conditionalFormatting>
  <conditionalFormatting sqref="M655">
    <cfRule type="cellIs" dxfId="0" priority="477" operator="lessThan">
      <formula>30</formula>
    </cfRule>
  </conditionalFormatting>
  <conditionalFormatting sqref="M656">
    <cfRule type="cellIs" dxfId="0" priority="476" operator="lessThan">
      <formula>30</formula>
    </cfRule>
  </conditionalFormatting>
  <conditionalFormatting sqref="M657">
    <cfRule type="cellIs" dxfId="0" priority="475" operator="lessThan">
      <formula>30</formula>
    </cfRule>
  </conditionalFormatting>
  <conditionalFormatting sqref="M658">
    <cfRule type="cellIs" dxfId="0" priority="474" operator="lessThan">
      <formula>30</formula>
    </cfRule>
  </conditionalFormatting>
  <conditionalFormatting sqref="M659">
    <cfRule type="cellIs" dxfId="0" priority="473" operator="lessThan">
      <formula>30</formula>
    </cfRule>
  </conditionalFormatting>
  <conditionalFormatting sqref="M660">
    <cfRule type="cellIs" dxfId="0" priority="472" operator="lessThan">
      <formula>30</formula>
    </cfRule>
  </conditionalFormatting>
  <conditionalFormatting sqref="M661">
    <cfRule type="cellIs" dxfId="0" priority="471" operator="lessThan">
      <formula>30</formula>
    </cfRule>
  </conditionalFormatting>
  <conditionalFormatting sqref="M662">
    <cfRule type="cellIs" dxfId="0" priority="470" operator="lessThan">
      <formula>30</formula>
    </cfRule>
  </conditionalFormatting>
  <conditionalFormatting sqref="M663">
    <cfRule type="cellIs" dxfId="0" priority="469" operator="lessThan">
      <formula>30</formula>
    </cfRule>
  </conditionalFormatting>
  <conditionalFormatting sqref="M664">
    <cfRule type="cellIs" dxfId="0" priority="468" operator="lessThan">
      <formula>30</formula>
    </cfRule>
  </conditionalFormatting>
  <conditionalFormatting sqref="M665">
    <cfRule type="cellIs" dxfId="0" priority="467" operator="lessThan">
      <formula>30</formula>
    </cfRule>
  </conditionalFormatting>
  <conditionalFormatting sqref="M666">
    <cfRule type="cellIs" dxfId="0" priority="466" operator="lessThan">
      <formula>30</formula>
    </cfRule>
  </conditionalFormatting>
  <conditionalFormatting sqref="M667">
    <cfRule type="cellIs" dxfId="0" priority="465" operator="lessThan">
      <formula>30</formula>
    </cfRule>
  </conditionalFormatting>
  <conditionalFormatting sqref="M668">
    <cfRule type="cellIs" dxfId="0" priority="464" operator="lessThan">
      <formula>30</formula>
    </cfRule>
  </conditionalFormatting>
  <conditionalFormatting sqref="M669">
    <cfRule type="cellIs" dxfId="0" priority="463" operator="lessThan">
      <formula>30</formula>
    </cfRule>
  </conditionalFormatting>
  <conditionalFormatting sqref="M670">
    <cfRule type="cellIs" dxfId="0" priority="462" operator="lessThan">
      <formula>30</formula>
    </cfRule>
  </conditionalFormatting>
  <conditionalFormatting sqref="M671">
    <cfRule type="cellIs" dxfId="0" priority="461" operator="lessThan">
      <formula>30</formula>
    </cfRule>
  </conditionalFormatting>
  <conditionalFormatting sqref="M672">
    <cfRule type="cellIs" dxfId="0" priority="460" operator="lessThan">
      <formula>30</formula>
    </cfRule>
  </conditionalFormatting>
  <conditionalFormatting sqref="M673">
    <cfRule type="cellIs" dxfId="0" priority="459" operator="lessThan">
      <formula>30</formula>
    </cfRule>
  </conditionalFormatting>
  <conditionalFormatting sqref="M674">
    <cfRule type="cellIs" dxfId="0" priority="458" operator="lessThan">
      <formula>30</formula>
    </cfRule>
  </conditionalFormatting>
  <conditionalFormatting sqref="M675">
    <cfRule type="cellIs" dxfId="0" priority="457" operator="lessThan">
      <formula>30</formula>
    </cfRule>
  </conditionalFormatting>
  <conditionalFormatting sqref="M676">
    <cfRule type="cellIs" dxfId="0" priority="456" operator="lessThan">
      <formula>30</formula>
    </cfRule>
  </conditionalFormatting>
  <conditionalFormatting sqref="M677">
    <cfRule type="cellIs" dxfId="0" priority="455" operator="lessThan">
      <formula>30</formula>
    </cfRule>
  </conditionalFormatting>
  <conditionalFormatting sqref="M678">
    <cfRule type="cellIs" dxfId="0" priority="454" operator="lessThan">
      <formula>30</formula>
    </cfRule>
  </conditionalFormatting>
  <conditionalFormatting sqref="M679">
    <cfRule type="cellIs" dxfId="0" priority="453" operator="lessThan">
      <formula>30</formula>
    </cfRule>
  </conditionalFormatting>
  <conditionalFormatting sqref="M680">
    <cfRule type="cellIs" dxfId="0" priority="452" operator="lessThan">
      <formula>30</formula>
    </cfRule>
  </conditionalFormatting>
  <conditionalFormatting sqref="M681">
    <cfRule type="cellIs" dxfId="0" priority="451" operator="lessThan">
      <formula>30</formula>
    </cfRule>
  </conditionalFormatting>
  <conditionalFormatting sqref="M682">
    <cfRule type="cellIs" dxfId="0" priority="450" operator="lessThan">
      <formula>30</formula>
    </cfRule>
  </conditionalFormatting>
  <conditionalFormatting sqref="M683">
    <cfRule type="cellIs" dxfId="0" priority="449" operator="lessThan">
      <formula>30</formula>
    </cfRule>
  </conditionalFormatting>
  <conditionalFormatting sqref="M684">
    <cfRule type="cellIs" dxfId="0" priority="448" operator="lessThan">
      <formula>30</formula>
    </cfRule>
  </conditionalFormatting>
  <conditionalFormatting sqref="M685">
    <cfRule type="cellIs" dxfId="0" priority="447" operator="lessThan">
      <formula>30</formula>
    </cfRule>
  </conditionalFormatting>
  <conditionalFormatting sqref="M686">
    <cfRule type="cellIs" dxfId="0" priority="446" operator="lessThan">
      <formula>30</formula>
    </cfRule>
  </conditionalFormatting>
  <conditionalFormatting sqref="M687">
    <cfRule type="cellIs" dxfId="0" priority="445" operator="lessThan">
      <formula>30</formula>
    </cfRule>
  </conditionalFormatting>
  <conditionalFormatting sqref="M688">
    <cfRule type="cellIs" dxfId="0" priority="444" operator="lessThan">
      <formula>30</formula>
    </cfRule>
  </conditionalFormatting>
  <conditionalFormatting sqref="M689">
    <cfRule type="cellIs" dxfId="0" priority="443" operator="lessThan">
      <formula>30</formula>
    </cfRule>
  </conditionalFormatting>
  <conditionalFormatting sqref="M690">
    <cfRule type="cellIs" dxfId="0" priority="442" operator="lessThan">
      <formula>30</formula>
    </cfRule>
  </conditionalFormatting>
  <conditionalFormatting sqref="M691">
    <cfRule type="cellIs" dxfId="0" priority="441" operator="lessThan">
      <formula>30</formula>
    </cfRule>
  </conditionalFormatting>
  <conditionalFormatting sqref="M692">
    <cfRule type="cellIs" dxfId="0" priority="440" operator="lessThan">
      <formula>30</formula>
    </cfRule>
  </conditionalFormatting>
  <conditionalFormatting sqref="M693">
    <cfRule type="cellIs" dxfId="0" priority="439" operator="lessThan">
      <formula>30</formula>
    </cfRule>
  </conditionalFormatting>
  <conditionalFormatting sqref="M694">
    <cfRule type="cellIs" dxfId="0" priority="438" operator="lessThan">
      <formula>30</formula>
    </cfRule>
  </conditionalFormatting>
  <conditionalFormatting sqref="M695">
    <cfRule type="cellIs" dxfId="0" priority="437" operator="lessThan">
      <formula>30</formula>
    </cfRule>
  </conditionalFormatting>
  <conditionalFormatting sqref="M696">
    <cfRule type="cellIs" dxfId="0" priority="436" operator="lessThan">
      <formula>30</formula>
    </cfRule>
  </conditionalFormatting>
  <conditionalFormatting sqref="M697">
    <cfRule type="cellIs" dxfId="0" priority="435" operator="lessThan">
      <formula>30</formula>
    </cfRule>
  </conditionalFormatting>
  <conditionalFormatting sqref="M698">
    <cfRule type="cellIs" dxfId="0" priority="434" operator="lessThan">
      <formula>30</formula>
    </cfRule>
  </conditionalFormatting>
  <conditionalFormatting sqref="M699">
    <cfRule type="cellIs" dxfId="0" priority="433" operator="lessThan">
      <formula>30</formula>
    </cfRule>
  </conditionalFormatting>
  <conditionalFormatting sqref="M700">
    <cfRule type="cellIs" dxfId="0" priority="432" operator="lessThan">
      <formula>30</formula>
    </cfRule>
  </conditionalFormatting>
  <conditionalFormatting sqref="M701">
    <cfRule type="cellIs" dxfId="0" priority="431" operator="lessThan">
      <formula>30</formula>
    </cfRule>
  </conditionalFormatting>
  <conditionalFormatting sqref="M702">
    <cfRule type="cellIs" dxfId="0" priority="430" operator="lessThan">
      <formula>30</formula>
    </cfRule>
  </conditionalFormatting>
  <conditionalFormatting sqref="M703">
    <cfRule type="cellIs" dxfId="0" priority="429" operator="lessThan">
      <formula>30</formula>
    </cfRule>
  </conditionalFormatting>
  <conditionalFormatting sqref="M704">
    <cfRule type="cellIs" dxfId="0" priority="428" operator="lessThan">
      <formula>30</formula>
    </cfRule>
  </conditionalFormatting>
  <conditionalFormatting sqref="M705">
    <cfRule type="cellIs" dxfId="0" priority="427" operator="lessThan">
      <formula>30</formula>
    </cfRule>
  </conditionalFormatting>
  <conditionalFormatting sqref="M706">
    <cfRule type="cellIs" dxfId="0" priority="426" operator="lessThan">
      <formula>30</formula>
    </cfRule>
  </conditionalFormatting>
  <conditionalFormatting sqref="M707">
    <cfRule type="cellIs" dxfId="0" priority="425" operator="lessThan">
      <formula>30</formula>
    </cfRule>
  </conditionalFormatting>
  <conditionalFormatting sqref="M708">
    <cfRule type="cellIs" dxfId="0" priority="424" operator="lessThan">
      <formula>30</formula>
    </cfRule>
  </conditionalFormatting>
  <conditionalFormatting sqref="M709">
    <cfRule type="cellIs" dxfId="0" priority="423" operator="lessThan">
      <formula>30</formula>
    </cfRule>
  </conditionalFormatting>
  <conditionalFormatting sqref="M710">
    <cfRule type="cellIs" dxfId="0" priority="422" operator="lessThan">
      <formula>30</formula>
    </cfRule>
  </conditionalFormatting>
  <conditionalFormatting sqref="M711">
    <cfRule type="cellIs" dxfId="0" priority="421" operator="lessThan">
      <formula>30</formula>
    </cfRule>
  </conditionalFormatting>
  <conditionalFormatting sqref="M712">
    <cfRule type="cellIs" dxfId="0" priority="420" operator="lessThan">
      <formula>30</formula>
    </cfRule>
  </conditionalFormatting>
  <conditionalFormatting sqref="M713">
    <cfRule type="cellIs" dxfId="0" priority="419" operator="lessThan">
      <formula>30</formula>
    </cfRule>
  </conditionalFormatting>
  <conditionalFormatting sqref="M714">
    <cfRule type="cellIs" dxfId="0" priority="418" operator="lessThan">
      <formula>30</formula>
    </cfRule>
  </conditionalFormatting>
  <conditionalFormatting sqref="M715">
    <cfRule type="cellIs" dxfId="0" priority="417" operator="lessThan">
      <formula>30</formula>
    </cfRule>
  </conditionalFormatting>
  <conditionalFormatting sqref="M716">
    <cfRule type="cellIs" dxfId="0" priority="416" operator="lessThan">
      <formula>30</formula>
    </cfRule>
  </conditionalFormatting>
  <conditionalFormatting sqref="M717">
    <cfRule type="cellIs" dxfId="0" priority="415" operator="lessThan">
      <formula>30</formula>
    </cfRule>
  </conditionalFormatting>
  <conditionalFormatting sqref="M718">
    <cfRule type="cellIs" dxfId="0" priority="414" operator="lessThan">
      <formula>30</formula>
    </cfRule>
  </conditionalFormatting>
  <conditionalFormatting sqref="M719">
    <cfRule type="cellIs" dxfId="0" priority="413" operator="lessThan">
      <formula>30</formula>
    </cfRule>
  </conditionalFormatting>
  <conditionalFormatting sqref="M720">
    <cfRule type="cellIs" dxfId="0" priority="412" operator="lessThan">
      <formula>30</formula>
    </cfRule>
  </conditionalFormatting>
  <conditionalFormatting sqref="M721">
    <cfRule type="cellIs" dxfId="0" priority="411" operator="lessThan">
      <formula>30</formula>
    </cfRule>
  </conditionalFormatting>
  <conditionalFormatting sqref="M722">
    <cfRule type="cellIs" dxfId="0" priority="410" operator="lessThan">
      <formula>30</formula>
    </cfRule>
  </conditionalFormatting>
  <conditionalFormatting sqref="M723">
    <cfRule type="cellIs" dxfId="0" priority="409" operator="lessThan">
      <formula>30</formula>
    </cfRule>
  </conditionalFormatting>
  <conditionalFormatting sqref="M724">
    <cfRule type="cellIs" dxfId="0" priority="408" operator="lessThan">
      <formula>30</formula>
    </cfRule>
  </conditionalFormatting>
  <conditionalFormatting sqref="M725">
    <cfRule type="cellIs" dxfId="0" priority="407" operator="lessThan">
      <formula>30</formula>
    </cfRule>
  </conditionalFormatting>
  <conditionalFormatting sqref="M726">
    <cfRule type="cellIs" dxfId="0" priority="406" operator="lessThan">
      <formula>30</formula>
    </cfRule>
  </conditionalFormatting>
  <conditionalFormatting sqref="M727">
    <cfRule type="cellIs" dxfId="0" priority="405" operator="lessThan">
      <formula>30</formula>
    </cfRule>
  </conditionalFormatting>
  <conditionalFormatting sqref="M728">
    <cfRule type="cellIs" dxfId="0" priority="404" operator="lessThan">
      <formula>30</formula>
    </cfRule>
  </conditionalFormatting>
  <conditionalFormatting sqref="M729">
    <cfRule type="cellIs" dxfId="0" priority="403" operator="lessThan">
      <formula>30</formula>
    </cfRule>
  </conditionalFormatting>
  <conditionalFormatting sqref="M730">
    <cfRule type="cellIs" dxfId="0" priority="402" operator="lessThan">
      <formula>30</formula>
    </cfRule>
  </conditionalFormatting>
  <conditionalFormatting sqref="M731">
    <cfRule type="cellIs" dxfId="0" priority="401" operator="lessThan">
      <formula>30</formula>
    </cfRule>
  </conditionalFormatting>
  <conditionalFormatting sqref="M732">
    <cfRule type="cellIs" dxfId="0" priority="400" operator="lessThan">
      <formula>30</formula>
    </cfRule>
  </conditionalFormatting>
  <conditionalFormatting sqref="M733">
    <cfRule type="cellIs" dxfId="0" priority="399" operator="lessThan">
      <formula>30</formula>
    </cfRule>
  </conditionalFormatting>
  <conditionalFormatting sqref="M734">
    <cfRule type="cellIs" dxfId="0" priority="398" operator="lessThan">
      <formula>30</formula>
    </cfRule>
  </conditionalFormatting>
  <conditionalFormatting sqref="M735">
    <cfRule type="cellIs" dxfId="0" priority="397" operator="lessThan">
      <formula>30</formula>
    </cfRule>
  </conditionalFormatting>
  <conditionalFormatting sqref="M736">
    <cfRule type="cellIs" dxfId="0" priority="396" operator="lessThan">
      <formula>30</formula>
    </cfRule>
  </conditionalFormatting>
  <conditionalFormatting sqref="M737">
    <cfRule type="cellIs" dxfId="0" priority="395" operator="lessThan">
      <formula>30</formula>
    </cfRule>
  </conditionalFormatting>
  <conditionalFormatting sqref="M738">
    <cfRule type="cellIs" dxfId="0" priority="394" operator="lessThan">
      <formula>30</formula>
    </cfRule>
  </conditionalFormatting>
  <conditionalFormatting sqref="M739">
    <cfRule type="cellIs" dxfId="0" priority="393" operator="lessThan">
      <formula>30</formula>
    </cfRule>
  </conditionalFormatting>
  <conditionalFormatting sqref="M740">
    <cfRule type="cellIs" dxfId="0" priority="392" operator="lessThan">
      <formula>30</formula>
    </cfRule>
  </conditionalFormatting>
  <conditionalFormatting sqref="M741">
    <cfRule type="cellIs" dxfId="0" priority="391" operator="lessThan">
      <formula>30</formula>
    </cfRule>
  </conditionalFormatting>
  <conditionalFormatting sqref="M742">
    <cfRule type="cellIs" dxfId="0" priority="390" operator="lessThan">
      <formula>30</formula>
    </cfRule>
  </conditionalFormatting>
  <conditionalFormatting sqref="M743">
    <cfRule type="cellIs" dxfId="0" priority="389" operator="lessThan">
      <formula>30</formula>
    </cfRule>
  </conditionalFormatting>
  <conditionalFormatting sqref="M744">
    <cfRule type="cellIs" dxfId="0" priority="388" operator="lessThan">
      <formula>30</formula>
    </cfRule>
  </conditionalFormatting>
  <conditionalFormatting sqref="M745">
    <cfRule type="cellIs" dxfId="0" priority="387" operator="lessThan">
      <formula>30</formula>
    </cfRule>
  </conditionalFormatting>
  <conditionalFormatting sqref="M746">
    <cfRule type="cellIs" dxfId="0" priority="386" operator="lessThan">
      <formula>30</formula>
    </cfRule>
  </conditionalFormatting>
  <conditionalFormatting sqref="M747">
    <cfRule type="cellIs" dxfId="0" priority="385" operator="lessThan">
      <formula>30</formula>
    </cfRule>
  </conditionalFormatting>
  <conditionalFormatting sqref="M748">
    <cfRule type="cellIs" dxfId="0" priority="384" operator="lessThan">
      <formula>30</formula>
    </cfRule>
  </conditionalFormatting>
  <conditionalFormatting sqref="M749">
    <cfRule type="cellIs" dxfId="0" priority="383" operator="lessThan">
      <formula>30</formula>
    </cfRule>
  </conditionalFormatting>
  <conditionalFormatting sqref="M750">
    <cfRule type="cellIs" dxfId="0" priority="382" operator="lessThan">
      <formula>30</formula>
    </cfRule>
  </conditionalFormatting>
  <conditionalFormatting sqref="M751">
    <cfRule type="cellIs" dxfId="0" priority="381" operator="lessThan">
      <formula>30</formula>
    </cfRule>
  </conditionalFormatting>
  <conditionalFormatting sqref="M752">
    <cfRule type="cellIs" dxfId="0" priority="380" operator="lessThan">
      <formula>30</formula>
    </cfRule>
  </conditionalFormatting>
  <conditionalFormatting sqref="M753">
    <cfRule type="cellIs" dxfId="0" priority="379" operator="lessThan">
      <formula>30</formula>
    </cfRule>
  </conditionalFormatting>
  <conditionalFormatting sqref="M754">
    <cfRule type="cellIs" dxfId="0" priority="378" operator="lessThan">
      <formula>30</formula>
    </cfRule>
  </conditionalFormatting>
  <conditionalFormatting sqref="M755">
    <cfRule type="cellIs" dxfId="0" priority="377" operator="lessThan">
      <formula>30</formula>
    </cfRule>
  </conditionalFormatting>
  <conditionalFormatting sqref="M756">
    <cfRule type="cellIs" dxfId="0" priority="376" operator="lessThan">
      <formula>30</formula>
    </cfRule>
  </conditionalFormatting>
  <conditionalFormatting sqref="M757">
    <cfRule type="cellIs" dxfId="0" priority="375" operator="lessThan">
      <formula>30</formula>
    </cfRule>
  </conditionalFormatting>
  <conditionalFormatting sqref="M758">
    <cfRule type="cellIs" dxfId="0" priority="374" operator="lessThan">
      <formula>30</formula>
    </cfRule>
  </conditionalFormatting>
  <conditionalFormatting sqref="M759">
    <cfRule type="cellIs" dxfId="0" priority="373" operator="lessThan">
      <formula>30</formula>
    </cfRule>
  </conditionalFormatting>
  <conditionalFormatting sqref="M760">
    <cfRule type="cellIs" dxfId="0" priority="372" operator="lessThan">
      <formula>30</formula>
    </cfRule>
  </conditionalFormatting>
  <conditionalFormatting sqref="M761">
    <cfRule type="cellIs" dxfId="0" priority="371" operator="lessThan">
      <formula>30</formula>
    </cfRule>
  </conditionalFormatting>
  <conditionalFormatting sqref="M762">
    <cfRule type="cellIs" dxfId="0" priority="370" operator="lessThan">
      <formula>30</formula>
    </cfRule>
  </conditionalFormatting>
  <conditionalFormatting sqref="M763">
    <cfRule type="cellIs" dxfId="0" priority="369" operator="lessThan">
      <formula>30</formula>
    </cfRule>
  </conditionalFormatting>
  <conditionalFormatting sqref="M764">
    <cfRule type="cellIs" dxfId="0" priority="368" operator="lessThan">
      <formula>30</formula>
    </cfRule>
  </conditionalFormatting>
  <conditionalFormatting sqref="M765">
    <cfRule type="cellIs" dxfId="0" priority="367" operator="lessThan">
      <formula>30</formula>
    </cfRule>
  </conditionalFormatting>
  <conditionalFormatting sqref="M766">
    <cfRule type="cellIs" dxfId="0" priority="366" operator="lessThan">
      <formula>30</formula>
    </cfRule>
  </conditionalFormatting>
  <conditionalFormatting sqref="M767">
    <cfRule type="cellIs" dxfId="0" priority="365" operator="lessThan">
      <formula>30</formula>
    </cfRule>
  </conditionalFormatting>
  <conditionalFormatting sqref="M768">
    <cfRule type="cellIs" dxfId="0" priority="364" operator="lessThan">
      <formula>30</formula>
    </cfRule>
  </conditionalFormatting>
  <conditionalFormatting sqref="M769">
    <cfRule type="cellIs" dxfId="0" priority="363" operator="lessThan">
      <formula>30</formula>
    </cfRule>
  </conditionalFormatting>
  <conditionalFormatting sqref="M770">
    <cfRule type="cellIs" dxfId="0" priority="362" operator="lessThan">
      <formula>30</formula>
    </cfRule>
  </conditionalFormatting>
  <conditionalFormatting sqref="M771">
    <cfRule type="cellIs" dxfId="0" priority="361" operator="lessThan">
      <formula>30</formula>
    </cfRule>
  </conditionalFormatting>
  <conditionalFormatting sqref="M772">
    <cfRule type="cellIs" dxfId="0" priority="360" operator="lessThan">
      <formula>30</formula>
    </cfRule>
  </conditionalFormatting>
  <conditionalFormatting sqref="M773">
    <cfRule type="cellIs" dxfId="0" priority="359" operator="lessThan">
      <formula>30</formula>
    </cfRule>
  </conditionalFormatting>
  <conditionalFormatting sqref="M774">
    <cfRule type="cellIs" dxfId="0" priority="358" operator="lessThan">
      <formula>30</formula>
    </cfRule>
  </conditionalFormatting>
  <conditionalFormatting sqref="M775">
    <cfRule type="cellIs" dxfId="0" priority="357" operator="lessThan">
      <formula>30</formula>
    </cfRule>
  </conditionalFormatting>
  <conditionalFormatting sqref="M776">
    <cfRule type="cellIs" dxfId="0" priority="356" operator="lessThan">
      <formula>30</formula>
    </cfRule>
  </conditionalFormatting>
  <conditionalFormatting sqref="M777">
    <cfRule type="cellIs" dxfId="0" priority="355" operator="lessThan">
      <formula>30</formula>
    </cfRule>
  </conditionalFormatting>
  <conditionalFormatting sqref="M778">
    <cfRule type="cellIs" dxfId="0" priority="354" operator="lessThan">
      <formula>30</formula>
    </cfRule>
  </conditionalFormatting>
  <conditionalFormatting sqref="M779">
    <cfRule type="cellIs" dxfId="0" priority="353" operator="lessThan">
      <formula>30</formula>
    </cfRule>
  </conditionalFormatting>
  <conditionalFormatting sqref="M780">
    <cfRule type="cellIs" dxfId="0" priority="352" operator="lessThan">
      <formula>30</formula>
    </cfRule>
  </conditionalFormatting>
  <conditionalFormatting sqref="M781">
    <cfRule type="cellIs" dxfId="0" priority="351" operator="lessThan">
      <formula>30</formula>
    </cfRule>
  </conditionalFormatting>
  <conditionalFormatting sqref="M782">
    <cfRule type="cellIs" dxfId="0" priority="350" operator="lessThan">
      <formula>30</formula>
    </cfRule>
  </conditionalFormatting>
  <conditionalFormatting sqref="M783">
    <cfRule type="cellIs" dxfId="0" priority="349" operator="lessThan">
      <formula>30</formula>
    </cfRule>
  </conditionalFormatting>
  <conditionalFormatting sqref="M784">
    <cfRule type="cellIs" dxfId="0" priority="348" operator="lessThan">
      <formula>30</formula>
    </cfRule>
  </conditionalFormatting>
  <conditionalFormatting sqref="M785">
    <cfRule type="cellIs" dxfId="0" priority="347" operator="lessThan">
      <formula>30</formula>
    </cfRule>
  </conditionalFormatting>
  <conditionalFormatting sqref="M786">
    <cfRule type="cellIs" dxfId="0" priority="346" operator="lessThan">
      <formula>30</formula>
    </cfRule>
  </conditionalFormatting>
  <conditionalFormatting sqref="M787">
    <cfRule type="cellIs" dxfId="0" priority="345" operator="lessThan">
      <formula>30</formula>
    </cfRule>
  </conditionalFormatting>
  <conditionalFormatting sqref="M788">
    <cfRule type="cellIs" dxfId="0" priority="344" operator="lessThan">
      <formula>30</formula>
    </cfRule>
  </conditionalFormatting>
  <conditionalFormatting sqref="M789">
    <cfRule type="cellIs" dxfId="0" priority="343" operator="lessThan">
      <formula>30</formula>
    </cfRule>
  </conditionalFormatting>
  <conditionalFormatting sqref="M790">
    <cfRule type="cellIs" dxfId="0" priority="342" operator="lessThan">
      <formula>30</formula>
    </cfRule>
  </conditionalFormatting>
  <conditionalFormatting sqref="M791">
    <cfRule type="cellIs" dxfId="0" priority="341" operator="lessThan">
      <formula>30</formula>
    </cfRule>
  </conditionalFormatting>
  <conditionalFormatting sqref="M792">
    <cfRule type="cellIs" dxfId="0" priority="340" operator="lessThan">
      <formula>30</formula>
    </cfRule>
  </conditionalFormatting>
  <conditionalFormatting sqref="M793">
    <cfRule type="cellIs" dxfId="0" priority="339" operator="lessThan">
      <formula>30</formula>
    </cfRule>
  </conditionalFormatting>
  <conditionalFormatting sqref="M794">
    <cfRule type="cellIs" dxfId="0" priority="338" operator="lessThan">
      <formula>30</formula>
    </cfRule>
  </conditionalFormatting>
  <conditionalFormatting sqref="M795">
    <cfRule type="cellIs" dxfId="0" priority="337" operator="lessThan">
      <formula>30</formula>
    </cfRule>
  </conditionalFormatting>
  <conditionalFormatting sqref="M796">
    <cfRule type="cellIs" dxfId="0" priority="336" operator="lessThan">
      <formula>30</formula>
    </cfRule>
  </conditionalFormatting>
  <conditionalFormatting sqref="M797">
    <cfRule type="cellIs" dxfId="0" priority="335" operator="lessThan">
      <formula>30</formula>
    </cfRule>
  </conditionalFormatting>
  <conditionalFormatting sqref="M798">
    <cfRule type="cellIs" dxfId="0" priority="334" operator="lessThan">
      <formula>30</formula>
    </cfRule>
  </conditionalFormatting>
  <conditionalFormatting sqref="M799">
    <cfRule type="cellIs" dxfId="0" priority="333" operator="lessThan">
      <formula>30</formula>
    </cfRule>
  </conditionalFormatting>
  <conditionalFormatting sqref="M800">
    <cfRule type="cellIs" dxfId="0" priority="332" operator="lessThan">
      <formula>30</formula>
    </cfRule>
  </conditionalFormatting>
  <conditionalFormatting sqref="M801">
    <cfRule type="cellIs" dxfId="0" priority="331" operator="lessThan">
      <formula>30</formula>
    </cfRule>
  </conditionalFormatting>
  <conditionalFormatting sqref="M802">
    <cfRule type="cellIs" dxfId="0" priority="330" operator="lessThan">
      <formula>30</formula>
    </cfRule>
  </conditionalFormatting>
  <conditionalFormatting sqref="M803">
    <cfRule type="cellIs" dxfId="0" priority="329" operator="lessThan">
      <formula>30</formula>
    </cfRule>
  </conditionalFormatting>
  <conditionalFormatting sqref="M804">
    <cfRule type="cellIs" dxfId="0" priority="328" operator="lessThan">
      <formula>30</formula>
    </cfRule>
  </conditionalFormatting>
  <conditionalFormatting sqref="M805">
    <cfRule type="cellIs" dxfId="0" priority="327" operator="lessThan">
      <formula>30</formula>
    </cfRule>
  </conditionalFormatting>
  <conditionalFormatting sqref="M806">
    <cfRule type="cellIs" dxfId="0" priority="326" operator="lessThan">
      <formula>30</formula>
    </cfRule>
  </conditionalFormatting>
  <conditionalFormatting sqref="M807">
    <cfRule type="cellIs" dxfId="0" priority="325" operator="lessThan">
      <formula>30</formula>
    </cfRule>
  </conditionalFormatting>
  <conditionalFormatting sqref="M808">
    <cfRule type="cellIs" dxfId="0" priority="324" operator="lessThan">
      <formula>30</formula>
    </cfRule>
  </conditionalFormatting>
  <conditionalFormatting sqref="M809">
    <cfRule type="cellIs" dxfId="0" priority="323" operator="lessThan">
      <formula>30</formula>
    </cfRule>
  </conditionalFormatting>
  <conditionalFormatting sqref="M810">
    <cfRule type="cellIs" dxfId="0" priority="322" operator="lessThan">
      <formula>30</formula>
    </cfRule>
  </conditionalFormatting>
  <conditionalFormatting sqref="M811">
    <cfRule type="cellIs" dxfId="0" priority="321" operator="lessThan">
      <formula>30</formula>
    </cfRule>
  </conditionalFormatting>
  <conditionalFormatting sqref="M812">
    <cfRule type="cellIs" dxfId="0" priority="320" operator="lessThan">
      <formula>30</formula>
    </cfRule>
  </conditionalFormatting>
  <conditionalFormatting sqref="M813">
    <cfRule type="cellIs" dxfId="0" priority="319" operator="lessThan">
      <formula>30</formula>
    </cfRule>
  </conditionalFormatting>
  <conditionalFormatting sqref="M814">
    <cfRule type="cellIs" dxfId="0" priority="318" operator="lessThan">
      <formula>30</formula>
    </cfRule>
  </conditionalFormatting>
  <conditionalFormatting sqref="M815">
    <cfRule type="cellIs" dxfId="0" priority="317" operator="lessThan">
      <formula>30</formula>
    </cfRule>
  </conditionalFormatting>
  <conditionalFormatting sqref="M816">
    <cfRule type="cellIs" dxfId="0" priority="316" operator="lessThan">
      <formula>30</formula>
    </cfRule>
  </conditionalFormatting>
  <conditionalFormatting sqref="M817">
    <cfRule type="cellIs" dxfId="0" priority="315" operator="lessThan">
      <formula>30</formula>
    </cfRule>
  </conditionalFormatting>
  <conditionalFormatting sqref="M818">
    <cfRule type="cellIs" dxfId="0" priority="314" operator="lessThan">
      <formula>30</formula>
    </cfRule>
  </conditionalFormatting>
  <conditionalFormatting sqref="M819">
    <cfRule type="cellIs" dxfId="0" priority="313" operator="lessThan">
      <formula>30</formula>
    </cfRule>
  </conditionalFormatting>
  <conditionalFormatting sqref="M820">
    <cfRule type="cellIs" dxfId="0" priority="312" operator="lessThan">
      <formula>30</formula>
    </cfRule>
  </conditionalFormatting>
  <conditionalFormatting sqref="M821">
    <cfRule type="cellIs" dxfId="0" priority="311" operator="lessThan">
      <formula>30</formula>
    </cfRule>
  </conditionalFormatting>
  <conditionalFormatting sqref="M822">
    <cfRule type="cellIs" dxfId="0" priority="310" operator="lessThan">
      <formula>30</formula>
    </cfRule>
  </conditionalFormatting>
  <conditionalFormatting sqref="M823">
    <cfRule type="cellIs" dxfId="0" priority="309" operator="lessThan">
      <formula>30</formula>
    </cfRule>
  </conditionalFormatting>
  <conditionalFormatting sqref="M824">
    <cfRule type="cellIs" dxfId="0" priority="308" operator="lessThan">
      <formula>30</formula>
    </cfRule>
  </conditionalFormatting>
  <conditionalFormatting sqref="M825">
    <cfRule type="cellIs" dxfId="0" priority="307" operator="lessThan">
      <formula>30</formula>
    </cfRule>
  </conditionalFormatting>
  <conditionalFormatting sqref="M826">
    <cfRule type="cellIs" dxfId="0" priority="306" operator="lessThan">
      <formula>30</formula>
    </cfRule>
  </conditionalFormatting>
  <conditionalFormatting sqref="M827">
    <cfRule type="cellIs" dxfId="0" priority="305" operator="lessThan">
      <formula>30</formula>
    </cfRule>
  </conditionalFormatting>
  <conditionalFormatting sqref="M828">
    <cfRule type="cellIs" dxfId="0" priority="304" operator="lessThan">
      <formula>30</formula>
    </cfRule>
  </conditionalFormatting>
  <conditionalFormatting sqref="M829">
    <cfRule type="cellIs" dxfId="0" priority="303" operator="lessThan">
      <formula>30</formula>
    </cfRule>
  </conditionalFormatting>
  <conditionalFormatting sqref="M830">
    <cfRule type="cellIs" dxfId="0" priority="302" operator="lessThan">
      <formula>30</formula>
    </cfRule>
  </conditionalFormatting>
  <conditionalFormatting sqref="M831">
    <cfRule type="cellIs" dxfId="0" priority="301" operator="lessThan">
      <formula>30</formula>
    </cfRule>
  </conditionalFormatting>
  <conditionalFormatting sqref="M832">
    <cfRule type="cellIs" dxfId="0" priority="300" operator="lessThan">
      <formula>30</formula>
    </cfRule>
  </conditionalFormatting>
  <conditionalFormatting sqref="M833">
    <cfRule type="cellIs" dxfId="0" priority="299" operator="lessThan">
      <formula>30</formula>
    </cfRule>
  </conditionalFormatting>
  <conditionalFormatting sqref="M834">
    <cfRule type="cellIs" dxfId="0" priority="298" operator="lessThan">
      <formula>30</formula>
    </cfRule>
  </conditionalFormatting>
  <conditionalFormatting sqref="M835">
    <cfRule type="cellIs" dxfId="0" priority="297" operator="lessThan">
      <formula>30</formula>
    </cfRule>
  </conditionalFormatting>
  <conditionalFormatting sqref="M836">
    <cfRule type="cellIs" dxfId="0" priority="296" operator="lessThan">
      <formula>30</formula>
    </cfRule>
  </conditionalFormatting>
  <conditionalFormatting sqref="M837">
    <cfRule type="cellIs" dxfId="0" priority="295" operator="lessThan">
      <formula>30</formula>
    </cfRule>
  </conditionalFormatting>
  <conditionalFormatting sqref="M838">
    <cfRule type="cellIs" dxfId="0" priority="294" operator="lessThan">
      <formula>30</formula>
    </cfRule>
  </conditionalFormatting>
  <conditionalFormatting sqref="M839">
    <cfRule type="cellIs" dxfId="0" priority="293" operator="lessThan">
      <formula>30</formula>
    </cfRule>
  </conditionalFormatting>
  <conditionalFormatting sqref="M840">
    <cfRule type="cellIs" dxfId="0" priority="292" operator="lessThan">
      <formula>30</formula>
    </cfRule>
  </conditionalFormatting>
  <conditionalFormatting sqref="M841">
    <cfRule type="cellIs" dxfId="0" priority="291" operator="lessThan">
      <formula>30</formula>
    </cfRule>
  </conditionalFormatting>
  <conditionalFormatting sqref="M842">
    <cfRule type="cellIs" dxfId="0" priority="290" operator="lessThan">
      <formula>30</formula>
    </cfRule>
  </conditionalFormatting>
  <conditionalFormatting sqref="M843">
    <cfRule type="cellIs" dxfId="0" priority="289" operator="lessThan">
      <formula>30</formula>
    </cfRule>
  </conditionalFormatting>
  <conditionalFormatting sqref="M844">
    <cfRule type="cellIs" dxfId="0" priority="288" operator="lessThan">
      <formula>30</formula>
    </cfRule>
  </conditionalFormatting>
  <conditionalFormatting sqref="M845">
    <cfRule type="cellIs" dxfId="0" priority="287" operator="lessThan">
      <formula>30</formula>
    </cfRule>
  </conditionalFormatting>
  <conditionalFormatting sqref="M846">
    <cfRule type="cellIs" dxfId="0" priority="286" operator="lessThan">
      <formula>30</formula>
    </cfRule>
  </conditionalFormatting>
  <conditionalFormatting sqref="M847">
    <cfRule type="cellIs" dxfId="0" priority="285" operator="lessThan">
      <formula>30</formula>
    </cfRule>
  </conditionalFormatting>
  <conditionalFormatting sqref="M848">
    <cfRule type="cellIs" dxfId="0" priority="284" operator="lessThan">
      <formula>30</formula>
    </cfRule>
  </conditionalFormatting>
  <conditionalFormatting sqref="M849">
    <cfRule type="cellIs" dxfId="0" priority="283" operator="lessThan">
      <formula>30</formula>
    </cfRule>
  </conditionalFormatting>
  <conditionalFormatting sqref="M850">
    <cfRule type="cellIs" dxfId="0" priority="282" operator="lessThan">
      <formula>30</formula>
    </cfRule>
  </conditionalFormatting>
  <conditionalFormatting sqref="M851">
    <cfRule type="cellIs" dxfId="0" priority="281" operator="lessThan">
      <formula>30</formula>
    </cfRule>
  </conditionalFormatting>
  <conditionalFormatting sqref="M852">
    <cfRule type="cellIs" dxfId="0" priority="280" operator="lessThan">
      <formula>30</formula>
    </cfRule>
  </conditionalFormatting>
  <conditionalFormatting sqref="M853">
    <cfRule type="cellIs" dxfId="0" priority="279" operator="lessThan">
      <formula>30</formula>
    </cfRule>
  </conditionalFormatting>
  <conditionalFormatting sqref="M854">
    <cfRule type="cellIs" dxfId="0" priority="278" operator="lessThan">
      <formula>30</formula>
    </cfRule>
  </conditionalFormatting>
  <conditionalFormatting sqref="M855">
    <cfRule type="cellIs" dxfId="0" priority="277" operator="lessThan">
      <formula>30</formula>
    </cfRule>
  </conditionalFormatting>
  <conditionalFormatting sqref="M856">
    <cfRule type="cellIs" dxfId="0" priority="276" operator="lessThan">
      <formula>30</formula>
    </cfRule>
  </conditionalFormatting>
  <conditionalFormatting sqref="M857">
    <cfRule type="cellIs" dxfId="0" priority="275" operator="lessThan">
      <formula>30</formula>
    </cfRule>
  </conditionalFormatting>
  <conditionalFormatting sqref="M858">
    <cfRule type="cellIs" dxfId="0" priority="274" operator="lessThan">
      <formula>30</formula>
    </cfRule>
  </conditionalFormatting>
  <conditionalFormatting sqref="M859">
    <cfRule type="cellIs" dxfId="0" priority="273" operator="lessThan">
      <formula>30</formula>
    </cfRule>
  </conditionalFormatting>
  <conditionalFormatting sqref="M860">
    <cfRule type="cellIs" dxfId="0" priority="272" operator="lessThan">
      <formula>30</formula>
    </cfRule>
  </conditionalFormatting>
  <conditionalFormatting sqref="M861">
    <cfRule type="cellIs" dxfId="0" priority="271" operator="lessThan">
      <formula>30</formula>
    </cfRule>
  </conditionalFormatting>
  <conditionalFormatting sqref="M862">
    <cfRule type="cellIs" dxfId="0" priority="270" operator="lessThan">
      <formula>30</formula>
    </cfRule>
  </conditionalFormatting>
  <conditionalFormatting sqref="M863">
    <cfRule type="cellIs" dxfId="0" priority="269" operator="lessThan">
      <formula>30</formula>
    </cfRule>
  </conditionalFormatting>
  <conditionalFormatting sqref="M864">
    <cfRule type="cellIs" dxfId="0" priority="268" operator="lessThan">
      <formula>30</formula>
    </cfRule>
  </conditionalFormatting>
  <conditionalFormatting sqref="M865">
    <cfRule type="cellIs" dxfId="0" priority="267" operator="lessThan">
      <formula>30</formula>
    </cfRule>
  </conditionalFormatting>
  <conditionalFormatting sqref="M866">
    <cfRule type="cellIs" dxfId="0" priority="266" operator="lessThan">
      <formula>30</formula>
    </cfRule>
  </conditionalFormatting>
  <conditionalFormatting sqref="M867">
    <cfRule type="cellIs" dxfId="0" priority="265" operator="lessThan">
      <formula>30</formula>
    </cfRule>
  </conditionalFormatting>
  <conditionalFormatting sqref="M868">
    <cfRule type="cellIs" dxfId="0" priority="264" operator="lessThan">
      <formula>30</formula>
    </cfRule>
  </conditionalFormatting>
  <conditionalFormatting sqref="M869">
    <cfRule type="cellIs" dxfId="0" priority="263" operator="lessThan">
      <formula>30</formula>
    </cfRule>
  </conditionalFormatting>
  <conditionalFormatting sqref="M870">
    <cfRule type="cellIs" dxfId="0" priority="262" operator="lessThan">
      <formula>30</formula>
    </cfRule>
  </conditionalFormatting>
  <conditionalFormatting sqref="M871">
    <cfRule type="cellIs" dxfId="0" priority="261" operator="lessThan">
      <formula>30</formula>
    </cfRule>
  </conditionalFormatting>
  <conditionalFormatting sqref="M872">
    <cfRule type="cellIs" dxfId="0" priority="260" operator="lessThan">
      <formula>30</formula>
    </cfRule>
  </conditionalFormatting>
  <conditionalFormatting sqref="M873">
    <cfRule type="cellIs" dxfId="0" priority="259" operator="lessThan">
      <formula>30</formula>
    </cfRule>
  </conditionalFormatting>
  <conditionalFormatting sqref="M874">
    <cfRule type="cellIs" dxfId="0" priority="258" operator="lessThan">
      <formula>30</formula>
    </cfRule>
  </conditionalFormatting>
  <conditionalFormatting sqref="M875">
    <cfRule type="cellIs" dxfId="0" priority="257" operator="lessThan">
      <formula>30</formula>
    </cfRule>
  </conditionalFormatting>
  <conditionalFormatting sqref="M876">
    <cfRule type="cellIs" dxfId="0" priority="256" operator="lessThan">
      <formula>30</formula>
    </cfRule>
  </conditionalFormatting>
  <conditionalFormatting sqref="M877">
    <cfRule type="cellIs" dxfId="0" priority="255" operator="lessThan">
      <formula>30</formula>
    </cfRule>
  </conditionalFormatting>
  <conditionalFormatting sqref="M878">
    <cfRule type="cellIs" dxfId="0" priority="254" operator="lessThan">
      <formula>30</formula>
    </cfRule>
  </conditionalFormatting>
  <conditionalFormatting sqref="M879">
    <cfRule type="cellIs" dxfId="0" priority="253" operator="lessThan">
      <formula>30</formula>
    </cfRule>
  </conditionalFormatting>
  <conditionalFormatting sqref="M880">
    <cfRule type="cellIs" dxfId="0" priority="252" operator="lessThan">
      <formula>30</formula>
    </cfRule>
  </conditionalFormatting>
  <conditionalFormatting sqref="M881">
    <cfRule type="cellIs" dxfId="0" priority="251" operator="lessThan">
      <formula>30</formula>
    </cfRule>
  </conditionalFormatting>
  <conditionalFormatting sqref="M882">
    <cfRule type="cellIs" dxfId="0" priority="250" operator="lessThan">
      <formula>30</formula>
    </cfRule>
  </conditionalFormatting>
  <conditionalFormatting sqref="M883">
    <cfRule type="cellIs" dxfId="0" priority="249" operator="lessThan">
      <formula>30</formula>
    </cfRule>
  </conditionalFormatting>
  <conditionalFormatting sqref="M884">
    <cfRule type="cellIs" dxfId="0" priority="248" operator="lessThan">
      <formula>30</formula>
    </cfRule>
  </conditionalFormatting>
  <conditionalFormatting sqref="M885">
    <cfRule type="cellIs" dxfId="0" priority="247" operator="lessThan">
      <formula>30</formula>
    </cfRule>
  </conditionalFormatting>
  <conditionalFormatting sqref="M886">
    <cfRule type="cellIs" dxfId="0" priority="246" operator="lessThan">
      <formula>30</formula>
    </cfRule>
  </conditionalFormatting>
  <conditionalFormatting sqref="M887">
    <cfRule type="cellIs" dxfId="0" priority="245" operator="lessThan">
      <formula>30</formula>
    </cfRule>
  </conditionalFormatting>
  <conditionalFormatting sqref="M888">
    <cfRule type="cellIs" dxfId="0" priority="244" operator="lessThan">
      <formula>30</formula>
    </cfRule>
  </conditionalFormatting>
  <conditionalFormatting sqref="M889">
    <cfRule type="cellIs" dxfId="0" priority="243" operator="lessThan">
      <formula>30</formula>
    </cfRule>
  </conditionalFormatting>
  <conditionalFormatting sqref="M890">
    <cfRule type="cellIs" dxfId="0" priority="242" operator="lessThan">
      <formula>30</formula>
    </cfRule>
  </conditionalFormatting>
  <conditionalFormatting sqref="M891">
    <cfRule type="cellIs" dxfId="0" priority="241" operator="lessThan">
      <formula>30</formula>
    </cfRule>
  </conditionalFormatting>
  <conditionalFormatting sqref="M892">
    <cfRule type="cellIs" dxfId="0" priority="240" operator="lessThan">
      <formula>30</formula>
    </cfRule>
  </conditionalFormatting>
  <conditionalFormatting sqref="M893">
    <cfRule type="cellIs" dxfId="0" priority="239" operator="lessThan">
      <formula>30</formula>
    </cfRule>
  </conditionalFormatting>
  <conditionalFormatting sqref="M894">
    <cfRule type="cellIs" dxfId="0" priority="238" operator="lessThan">
      <formula>30</formula>
    </cfRule>
  </conditionalFormatting>
  <conditionalFormatting sqref="M895">
    <cfRule type="cellIs" dxfId="0" priority="237" operator="lessThan">
      <formula>30</formula>
    </cfRule>
  </conditionalFormatting>
  <conditionalFormatting sqref="M896">
    <cfRule type="cellIs" dxfId="0" priority="236" operator="lessThan">
      <formula>30</formula>
    </cfRule>
  </conditionalFormatting>
  <conditionalFormatting sqref="M897">
    <cfRule type="cellIs" dxfId="0" priority="235" operator="lessThan">
      <formula>30</formula>
    </cfRule>
  </conditionalFormatting>
  <conditionalFormatting sqref="M898">
    <cfRule type="cellIs" dxfId="0" priority="234" operator="lessThan">
      <formula>30</formula>
    </cfRule>
  </conditionalFormatting>
  <conditionalFormatting sqref="M899">
    <cfRule type="cellIs" dxfId="0" priority="233" operator="lessThan">
      <formula>30</formula>
    </cfRule>
  </conditionalFormatting>
  <conditionalFormatting sqref="M900">
    <cfRule type="cellIs" dxfId="0" priority="232" operator="lessThan">
      <formula>30</formula>
    </cfRule>
  </conditionalFormatting>
  <conditionalFormatting sqref="M901">
    <cfRule type="cellIs" dxfId="0" priority="231" operator="lessThan">
      <formula>30</formula>
    </cfRule>
  </conditionalFormatting>
  <conditionalFormatting sqref="M902">
    <cfRule type="cellIs" dxfId="0" priority="230" operator="lessThan">
      <formula>30</formula>
    </cfRule>
  </conditionalFormatting>
  <conditionalFormatting sqref="M903">
    <cfRule type="cellIs" dxfId="0" priority="229" operator="lessThan">
      <formula>30</formula>
    </cfRule>
  </conditionalFormatting>
  <conditionalFormatting sqref="M904">
    <cfRule type="cellIs" dxfId="0" priority="228" operator="lessThan">
      <formula>30</formula>
    </cfRule>
  </conditionalFormatting>
  <conditionalFormatting sqref="M905">
    <cfRule type="cellIs" dxfId="0" priority="227" operator="lessThan">
      <formula>30</formula>
    </cfRule>
  </conditionalFormatting>
  <conditionalFormatting sqref="M906">
    <cfRule type="cellIs" dxfId="0" priority="226" operator="lessThan">
      <formula>30</formula>
    </cfRule>
  </conditionalFormatting>
  <conditionalFormatting sqref="M907">
    <cfRule type="cellIs" dxfId="0" priority="225" operator="lessThan">
      <formula>30</formula>
    </cfRule>
  </conditionalFormatting>
  <conditionalFormatting sqref="M908">
    <cfRule type="cellIs" dxfId="0" priority="224" operator="lessThan">
      <formula>30</formula>
    </cfRule>
  </conditionalFormatting>
  <conditionalFormatting sqref="M909">
    <cfRule type="cellIs" dxfId="0" priority="223" operator="lessThan">
      <formula>30</formula>
    </cfRule>
  </conditionalFormatting>
  <conditionalFormatting sqref="M910">
    <cfRule type="cellIs" dxfId="0" priority="222" operator="lessThan">
      <formula>30</formula>
    </cfRule>
  </conditionalFormatting>
  <conditionalFormatting sqref="M911">
    <cfRule type="cellIs" dxfId="0" priority="221" operator="lessThan">
      <formula>30</formula>
    </cfRule>
  </conditionalFormatting>
  <conditionalFormatting sqref="M912">
    <cfRule type="cellIs" dxfId="0" priority="220" operator="lessThan">
      <formula>30</formula>
    </cfRule>
  </conditionalFormatting>
  <conditionalFormatting sqref="M913">
    <cfRule type="cellIs" dxfId="0" priority="219" operator="lessThan">
      <formula>30</formula>
    </cfRule>
  </conditionalFormatting>
  <conditionalFormatting sqref="M914">
    <cfRule type="cellIs" dxfId="0" priority="218" operator="lessThan">
      <formula>30</formula>
    </cfRule>
  </conditionalFormatting>
  <conditionalFormatting sqref="M915">
    <cfRule type="cellIs" dxfId="0" priority="217" operator="lessThan">
      <formula>30</formula>
    </cfRule>
  </conditionalFormatting>
  <conditionalFormatting sqref="M916">
    <cfRule type="cellIs" dxfId="0" priority="216" operator="lessThan">
      <formula>30</formula>
    </cfRule>
  </conditionalFormatting>
  <conditionalFormatting sqref="M917">
    <cfRule type="cellIs" dxfId="0" priority="215" operator="lessThan">
      <formula>30</formula>
    </cfRule>
  </conditionalFormatting>
  <conditionalFormatting sqref="M918">
    <cfRule type="cellIs" dxfId="0" priority="214" operator="lessThan">
      <formula>30</formula>
    </cfRule>
  </conditionalFormatting>
  <conditionalFormatting sqref="M919">
    <cfRule type="cellIs" dxfId="0" priority="213" operator="lessThan">
      <formula>30</formula>
    </cfRule>
  </conditionalFormatting>
  <conditionalFormatting sqref="M920">
    <cfRule type="cellIs" dxfId="0" priority="212" operator="lessThan">
      <formula>30</formula>
    </cfRule>
  </conditionalFormatting>
  <conditionalFormatting sqref="M921">
    <cfRule type="cellIs" dxfId="0" priority="211" operator="lessThan">
      <formula>30</formula>
    </cfRule>
  </conditionalFormatting>
  <conditionalFormatting sqref="M922">
    <cfRule type="cellIs" dxfId="0" priority="210" operator="lessThan">
      <formula>30</formula>
    </cfRule>
  </conditionalFormatting>
  <conditionalFormatting sqref="M923">
    <cfRule type="cellIs" dxfId="0" priority="209" operator="lessThan">
      <formula>30</formula>
    </cfRule>
  </conditionalFormatting>
  <conditionalFormatting sqref="M924">
    <cfRule type="cellIs" dxfId="0" priority="208" operator="lessThan">
      <formula>30</formula>
    </cfRule>
  </conditionalFormatting>
  <conditionalFormatting sqref="M925">
    <cfRule type="cellIs" dxfId="0" priority="207" operator="lessThan">
      <formula>30</formula>
    </cfRule>
  </conditionalFormatting>
  <conditionalFormatting sqref="M926">
    <cfRule type="cellIs" dxfId="0" priority="206" operator="lessThan">
      <formula>30</formula>
    </cfRule>
  </conditionalFormatting>
  <conditionalFormatting sqref="M929">
    <cfRule type="cellIs" dxfId="0" priority="204" operator="lessThan">
      <formula>30</formula>
    </cfRule>
  </conditionalFormatting>
  <conditionalFormatting sqref="M930">
    <cfRule type="cellIs" dxfId="0" priority="203" operator="lessThan">
      <formula>30</formula>
    </cfRule>
  </conditionalFormatting>
  <conditionalFormatting sqref="M931">
    <cfRule type="cellIs" dxfId="0" priority="202" operator="lessThan">
      <formula>30</formula>
    </cfRule>
  </conditionalFormatting>
  <conditionalFormatting sqref="M932">
    <cfRule type="cellIs" dxfId="0" priority="201" operator="lessThan">
      <formula>30</formula>
    </cfRule>
  </conditionalFormatting>
  <conditionalFormatting sqref="M933">
    <cfRule type="cellIs" dxfId="0" priority="200" operator="lessThan">
      <formula>30</formula>
    </cfRule>
  </conditionalFormatting>
  <conditionalFormatting sqref="M934">
    <cfRule type="cellIs" dxfId="0" priority="199" operator="lessThan">
      <formula>30</formula>
    </cfRule>
  </conditionalFormatting>
  <conditionalFormatting sqref="M935">
    <cfRule type="cellIs" dxfId="0" priority="198" operator="lessThan">
      <formula>30</formula>
    </cfRule>
  </conditionalFormatting>
  <conditionalFormatting sqref="M936">
    <cfRule type="cellIs" dxfId="0" priority="197" operator="lessThan">
      <formula>30</formula>
    </cfRule>
  </conditionalFormatting>
  <conditionalFormatting sqref="M937">
    <cfRule type="cellIs" dxfId="0" priority="196" operator="lessThan">
      <formula>30</formula>
    </cfRule>
  </conditionalFormatting>
  <conditionalFormatting sqref="M938">
    <cfRule type="cellIs" dxfId="0" priority="195" operator="lessThan">
      <formula>30</formula>
    </cfRule>
  </conditionalFormatting>
  <conditionalFormatting sqref="M939">
    <cfRule type="cellIs" dxfId="0" priority="194" operator="lessThan">
      <formula>30</formula>
    </cfRule>
  </conditionalFormatting>
  <conditionalFormatting sqref="M940">
    <cfRule type="cellIs" dxfId="0" priority="193" operator="lessThan">
      <formula>30</formula>
    </cfRule>
  </conditionalFormatting>
  <conditionalFormatting sqref="M941">
    <cfRule type="cellIs" dxfId="0" priority="192" operator="lessThan">
      <formula>30</formula>
    </cfRule>
  </conditionalFormatting>
  <conditionalFormatting sqref="M942">
    <cfRule type="cellIs" dxfId="0" priority="191" operator="lessThan">
      <formula>30</formula>
    </cfRule>
  </conditionalFormatting>
  <conditionalFormatting sqref="M943">
    <cfRule type="cellIs" dxfId="0" priority="190" operator="lessThan">
      <formula>30</formula>
    </cfRule>
  </conditionalFormatting>
  <conditionalFormatting sqref="M944">
    <cfRule type="cellIs" dxfId="0" priority="189" operator="lessThan">
      <formula>30</formula>
    </cfRule>
  </conditionalFormatting>
  <conditionalFormatting sqref="M945">
    <cfRule type="cellIs" dxfId="0" priority="188" operator="lessThan">
      <formula>30</formula>
    </cfRule>
  </conditionalFormatting>
  <conditionalFormatting sqref="M946">
    <cfRule type="cellIs" dxfId="0" priority="187" operator="lessThan">
      <formula>30</formula>
    </cfRule>
  </conditionalFormatting>
  <conditionalFormatting sqref="M947">
    <cfRule type="cellIs" dxfId="0" priority="186" operator="lessThan">
      <formula>30</formula>
    </cfRule>
  </conditionalFormatting>
  <conditionalFormatting sqref="M948">
    <cfRule type="cellIs" dxfId="0" priority="185" operator="lessThan">
      <formula>30</formula>
    </cfRule>
  </conditionalFormatting>
  <conditionalFormatting sqref="M949">
    <cfRule type="cellIs" dxfId="0" priority="184" operator="lessThan">
      <formula>30</formula>
    </cfRule>
  </conditionalFormatting>
  <conditionalFormatting sqref="M950">
    <cfRule type="cellIs" dxfId="0" priority="183" operator="lessThan">
      <formula>30</formula>
    </cfRule>
  </conditionalFormatting>
  <conditionalFormatting sqref="M951">
    <cfRule type="cellIs" dxfId="0" priority="182" operator="lessThan">
      <formula>30</formula>
    </cfRule>
  </conditionalFormatting>
  <conditionalFormatting sqref="M952">
    <cfRule type="cellIs" dxfId="0" priority="181" operator="lessThan">
      <formula>30</formula>
    </cfRule>
  </conditionalFormatting>
  <conditionalFormatting sqref="M953">
    <cfRule type="cellIs" dxfId="0" priority="180" operator="lessThan">
      <formula>30</formula>
    </cfRule>
  </conditionalFormatting>
  <conditionalFormatting sqref="M954">
    <cfRule type="cellIs" dxfId="0" priority="179" operator="lessThan">
      <formula>30</formula>
    </cfRule>
  </conditionalFormatting>
  <conditionalFormatting sqref="M955">
    <cfRule type="cellIs" dxfId="0" priority="178" operator="lessThan">
      <formula>30</formula>
    </cfRule>
  </conditionalFormatting>
  <conditionalFormatting sqref="M956">
    <cfRule type="cellIs" dxfId="0" priority="177" operator="lessThan">
      <formula>30</formula>
    </cfRule>
  </conditionalFormatting>
  <conditionalFormatting sqref="M957">
    <cfRule type="cellIs" dxfId="0" priority="176" operator="lessThan">
      <formula>30</formula>
    </cfRule>
  </conditionalFormatting>
  <conditionalFormatting sqref="M958">
    <cfRule type="cellIs" dxfId="0" priority="175" operator="lessThan">
      <formula>30</formula>
    </cfRule>
  </conditionalFormatting>
  <conditionalFormatting sqref="M959">
    <cfRule type="cellIs" dxfId="0" priority="174" operator="lessThan">
      <formula>30</formula>
    </cfRule>
  </conditionalFormatting>
  <conditionalFormatting sqref="M960">
    <cfRule type="cellIs" dxfId="0" priority="173" operator="lessThan">
      <formula>30</formula>
    </cfRule>
  </conditionalFormatting>
  <conditionalFormatting sqref="M961">
    <cfRule type="cellIs" dxfId="0" priority="172" operator="lessThan">
      <formula>30</formula>
    </cfRule>
  </conditionalFormatting>
  <conditionalFormatting sqref="M962">
    <cfRule type="cellIs" dxfId="0" priority="171" operator="lessThan">
      <formula>30</formula>
    </cfRule>
  </conditionalFormatting>
  <conditionalFormatting sqref="M963">
    <cfRule type="cellIs" dxfId="0" priority="170" operator="lessThan">
      <formula>30</formula>
    </cfRule>
  </conditionalFormatting>
  <conditionalFormatting sqref="M964">
    <cfRule type="cellIs" dxfId="0" priority="169" operator="lessThan">
      <formula>30</formula>
    </cfRule>
  </conditionalFormatting>
  <conditionalFormatting sqref="M965">
    <cfRule type="cellIs" dxfId="0" priority="168" operator="lessThan">
      <formula>30</formula>
    </cfRule>
  </conditionalFormatting>
  <conditionalFormatting sqref="M966">
    <cfRule type="cellIs" dxfId="0" priority="167" operator="lessThan">
      <formula>30</formula>
    </cfRule>
  </conditionalFormatting>
  <conditionalFormatting sqref="M967">
    <cfRule type="cellIs" dxfId="0" priority="166" operator="lessThan">
      <formula>30</formula>
    </cfRule>
  </conditionalFormatting>
  <conditionalFormatting sqref="M968">
    <cfRule type="cellIs" dxfId="0" priority="165" operator="lessThan">
      <formula>30</formula>
    </cfRule>
  </conditionalFormatting>
  <conditionalFormatting sqref="M969">
    <cfRule type="cellIs" dxfId="0" priority="164" operator="lessThan">
      <formula>30</formula>
    </cfRule>
  </conditionalFormatting>
  <conditionalFormatting sqref="M970">
    <cfRule type="cellIs" dxfId="0" priority="163" operator="lessThan">
      <formula>30</formula>
    </cfRule>
  </conditionalFormatting>
  <conditionalFormatting sqref="M971">
    <cfRule type="cellIs" dxfId="0" priority="162" operator="lessThan">
      <formula>30</formula>
    </cfRule>
  </conditionalFormatting>
  <conditionalFormatting sqref="M972">
    <cfRule type="cellIs" dxfId="0" priority="161" operator="lessThan">
      <formula>30</formula>
    </cfRule>
  </conditionalFormatting>
  <conditionalFormatting sqref="M973">
    <cfRule type="cellIs" dxfId="0" priority="160" operator="lessThan">
      <formula>30</formula>
    </cfRule>
  </conditionalFormatting>
  <conditionalFormatting sqref="M974">
    <cfRule type="cellIs" dxfId="0" priority="159" operator="lessThan">
      <formula>30</formula>
    </cfRule>
  </conditionalFormatting>
  <conditionalFormatting sqref="M975">
    <cfRule type="cellIs" dxfId="0" priority="158" operator="lessThan">
      <formula>30</formula>
    </cfRule>
  </conditionalFormatting>
  <conditionalFormatting sqref="M976">
    <cfRule type="cellIs" dxfId="0" priority="157" operator="lessThan">
      <formula>30</formula>
    </cfRule>
  </conditionalFormatting>
  <conditionalFormatting sqref="M977">
    <cfRule type="cellIs" dxfId="0" priority="156" operator="lessThan">
      <formula>30</formula>
    </cfRule>
  </conditionalFormatting>
  <conditionalFormatting sqref="M978">
    <cfRule type="cellIs" dxfId="0" priority="155" operator="lessThan">
      <formula>30</formula>
    </cfRule>
  </conditionalFormatting>
  <conditionalFormatting sqref="M979">
    <cfRule type="cellIs" dxfId="0" priority="154" operator="lessThan">
      <formula>30</formula>
    </cfRule>
  </conditionalFormatting>
  <conditionalFormatting sqref="M980">
    <cfRule type="cellIs" dxfId="0" priority="153" operator="lessThan">
      <formula>30</formula>
    </cfRule>
  </conditionalFormatting>
  <conditionalFormatting sqref="M981">
    <cfRule type="cellIs" dxfId="0" priority="152" operator="lessThan">
      <formula>30</formula>
    </cfRule>
  </conditionalFormatting>
  <conditionalFormatting sqref="M982">
    <cfRule type="cellIs" dxfId="0" priority="151" operator="lessThan">
      <formula>30</formula>
    </cfRule>
  </conditionalFormatting>
  <conditionalFormatting sqref="M983">
    <cfRule type="cellIs" dxfId="0" priority="150" operator="lessThan">
      <formula>30</formula>
    </cfRule>
  </conditionalFormatting>
  <conditionalFormatting sqref="M984">
    <cfRule type="cellIs" dxfId="0" priority="149" operator="lessThan">
      <formula>30</formula>
    </cfRule>
  </conditionalFormatting>
  <conditionalFormatting sqref="M985">
    <cfRule type="cellIs" dxfId="0" priority="148" operator="lessThan">
      <formula>30</formula>
    </cfRule>
  </conditionalFormatting>
  <conditionalFormatting sqref="M986">
    <cfRule type="cellIs" dxfId="0" priority="147" operator="lessThan">
      <formula>30</formula>
    </cfRule>
  </conditionalFormatting>
  <conditionalFormatting sqref="M987">
    <cfRule type="cellIs" dxfId="0" priority="146" operator="lessThan">
      <formula>30</formula>
    </cfRule>
  </conditionalFormatting>
  <conditionalFormatting sqref="M988">
    <cfRule type="cellIs" dxfId="0" priority="145" operator="lessThan">
      <formula>30</formula>
    </cfRule>
  </conditionalFormatting>
  <conditionalFormatting sqref="M989">
    <cfRule type="cellIs" dxfId="0" priority="144" operator="lessThan">
      <formula>30</formula>
    </cfRule>
  </conditionalFormatting>
  <conditionalFormatting sqref="M990">
    <cfRule type="cellIs" dxfId="0" priority="143" operator="lessThan">
      <formula>30</formula>
    </cfRule>
  </conditionalFormatting>
  <conditionalFormatting sqref="M991">
    <cfRule type="cellIs" dxfId="0" priority="142" operator="lessThan">
      <formula>30</formula>
    </cfRule>
  </conditionalFormatting>
  <conditionalFormatting sqref="M992">
    <cfRule type="cellIs" dxfId="0" priority="141" operator="lessThan">
      <formula>30</formula>
    </cfRule>
  </conditionalFormatting>
  <conditionalFormatting sqref="M993">
    <cfRule type="cellIs" dxfId="0" priority="140" operator="lessThan">
      <formula>30</formula>
    </cfRule>
  </conditionalFormatting>
  <conditionalFormatting sqref="M994">
    <cfRule type="cellIs" dxfId="0" priority="139" operator="lessThan">
      <formula>30</formula>
    </cfRule>
  </conditionalFormatting>
  <conditionalFormatting sqref="M995">
    <cfRule type="cellIs" dxfId="0" priority="138" operator="lessThan">
      <formula>30</formula>
    </cfRule>
  </conditionalFormatting>
  <conditionalFormatting sqref="M996">
    <cfRule type="cellIs" dxfId="0" priority="137" operator="lessThan">
      <formula>30</formula>
    </cfRule>
  </conditionalFormatting>
  <conditionalFormatting sqref="M997">
    <cfRule type="cellIs" dxfId="0" priority="136" operator="lessThan">
      <formula>30</formula>
    </cfRule>
  </conditionalFormatting>
  <conditionalFormatting sqref="M998">
    <cfRule type="cellIs" dxfId="0" priority="135" operator="lessThan">
      <formula>30</formula>
    </cfRule>
  </conditionalFormatting>
  <conditionalFormatting sqref="M999">
    <cfRule type="cellIs" dxfId="0" priority="134" operator="lessThan">
      <formula>30</formula>
    </cfRule>
  </conditionalFormatting>
  <conditionalFormatting sqref="M1000">
    <cfRule type="cellIs" dxfId="0" priority="133" operator="lessThan">
      <formula>30</formula>
    </cfRule>
  </conditionalFormatting>
  <conditionalFormatting sqref="M1001">
    <cfRule type="cellIs" dxfId="0" priority="132" operator="lessThan">
      <formula>30</formula>
    </cfRule>
  </conditionalFormatting>
  <conditionalFormatting sqref="M1002">
    <cfRule type="cellIs" dxfId="0" priority="131" operator="lessThan">
      <formula>30</formula>
    </cfRule>
  </conditionalFormatting>
  <conditionalFormatting sqref="M1003">
    <cfRule type="cellIs" dxfId="0" priority="130" operator="lessThan">
      <formula>30</formula>
    </cfRule>
  </conditionalFormatting>
  <conditionalFormatting sqref="M1004">
    <cfRule type="cellIs" dxfId="0" priority="129" operator="lessThan">
      <formula>30</formula>
    </cfRule>
  </conditionalFormatting>
  <conditionalFormatting sqref="M1005">
    <cfRule type="cellIs" dxfId="0" priority="128" operator="lessThan">
      <formula>30</formula>
    </cfRule>
  </conditionalFormatting>
  <conditionalFormatting sqref="M1006">
    <cfRule type="cellIs" dxfId="0" priority="127" operator="lessThan">
      <formula>30</formula>
    </cfRule>
  </conditionalFormatting>
  <conditionalFormatting sqref="M1007">
    <cfRule type="cellIs" dxfId="0" priority="126" operator="lessThan">
      <formula>30</formula>
    </cfRule>
  </conditionalFormatting>
  <conditionalFormatting sqref="M1008">
    <cfRule type="cellIs" dxfId="0" priority="125" operator="lessThan">
      <formula>30</formula>
    </cfRule>
  </conditionalFormatting>
  <conditionalFormatting sqref="M1009">
    <cfRule type="cellIs" dxfId="0" priority="124" operator="lessThan">
      <formula>30</formula>
    </cfRule>
  </conditionalFormatting>
  <conditionalFormatting sqref="M1010">
    <cfRule type="cellIs" dxfId="0" priority="123" operator="lessThan">
      <formula>30</formula>
    </cfRule>
  </conditionalFormatting>
  <conditionalFormatting sqref="M1011">
    <cfRule type="cellIs" dxfId="0" priority="122" operator="lessThan">
      <formula>30</formula>
    </cfRule>
  </conditionalFormatting>
  <conditionalFormatting sqref="M1012">
    <cfRule type="cellIs" dxfId="0" priority="121" operator="lessThan">
      <formula>30</formula>
    </cfRule>
  </conditionalFormatting>
  <conditionalFormatting sqref="M1013">
    <cfRule type="cellIs" dxfId="0" priority="120" operator="lessThan">
      <formula>30</formula>
    </cfRule>
  </conditionalFormatting>
  <conditionalFormatting sqref="M1014">
    <cfRule type="cellIs" dxfId="0" priority="119" operator="lessThan">
      <formula>30</formula>
    </cfRule>
  </conditionalFormatting>
  <conditionalFormatting sqref="M1015">
    <cfRule type="cellIs" dxfId="0" priority="118" operator="lessThan">
      <formula>30</formula>
    </cfRule>
  </conditionalFormatting>
  <conditionalFormatting sqref="M1016">
    <cfRule type="cellIs" dxfId="0" priority="117" operator="lessThan">
      <formula>30</formula>
    </cfRule>
  </conditionalFormatting>
  <conditionalFormatting sqref="M1017">
    <cfRule type="cellIs" dxfId="0" priority="116" operator="lessThan">
      <formula>30</formula>
    </cfRule>
  </conditionalFormatting>
  <conditionalFormatting sqref="M1018">
    <cfRule type="cellIs" dxfId="0" priority="115" operator="lessThan">
      <formula>30</formula>
    </cfRule>
  </conditionalFormatting>
  <conditionalFormatting sqref="M1019">
    <cfRule type="cellIs" dxfId="0" priority="114" operator="lessThan">
      <formula>30</formula>
    </cfRule>
  </conditionalFormatting>
  <conditionalFormatting sqref="M1020">
    <cfRule type="cellIs" dxfId="0" priority="113" operator="lessThan">
      <formula>30</formula>
    </cfRule>
  </conditionalFormatting>
  <conditionalFormatting sqref="M1021">
    <cfRule type="cellIs" dxfId="0" priority="112" operator="lessThan">
      <formula>30</formula>
    </cfRule>
  </conditionalFormatting>
  <conditionalFormatting sqref="M1022">
    <cfRule type="cellIs" dxfId="0" priority="111" operator="lessThan">
      <formula>30</formula>
    </cfRule>
  </conditionalFormatting>
  <conditionalFormatting sqref="M1023">
    <cfRule type="cellIs" dxfId="0" priority="110" operator="lessThan">
      <formula>30</formula>
    </cfRule>
  </conditionalFormatting>
  <conditionalFormatting sqref="M1024">
    <cfRule type="cellIs" dxfId="0" priority="109" operator="lessThan">
      <formula>30</formula>
    </cfRule>
  </conditionalFormatting>
  <conditionalFormatting sqref="M1025">
    <cfRule type="cellIs" dxfId="0" priority="108" operator="lessThan">
      <formula>30</formula>
    </cfRule>
  </conditionalFormatting>
  <conditionalFormatting sqref="M1026">
    <cfRule type="cellIs" dxfId="0" priority="107" operator="lessThan">
      <formula>30</formula>
    </cfRule>
  </conditionalFormatting>
  <conditionalFormatting sqref="M1027">
    <cfRule type="cellIs" dxfId="0" priority="106" operator="lessThan">
      <formula>30</formula>
    </cfRule>
  </conditionalFormatting>
  <conditionalFormatting sqref="M1028">
    <cfRule type="cellIs" dxfId="0" priority="105" operator="lessThan">
      <formula>30</formula>
    </cfRule>
  </conditionalFormatting>
  <conditionalFormatting sqref="M1029">
    <cfRule type="cellIs" dxfId="0" priority="104" operator="lessThan">
      <formula>30</formula>
    </cfRule>
  </conditionalFormatting>
  <conditionalFormatting sqref="M1030">
    <cfRule type="cellIs" dxfId="0" priority="103" operator="lessThan">
      <formula>30</formula>
    </cfRule>
  </conditionalFormatting>
  <conditionalFormatting sqref="M1031">
    <cfRule type="cellIs" dxfId="0" priority="102" operator="lessThan">
      <formula>30</formula>
    </cfRule>
  </conditionalFormatting>
  <conditionalFormatting sqref="M1032">
    <cfRule type="cellIs" dxfId="0" priority="101" operator="lessThan">
      <formula>30</formula>
    </cfRule>
  </conditionalFormatting>
  <conditionalFormatting sqref="M1033">
    <cfRule type="cellIs" dxfId="0" priority="100" operator="lessThan">
      <formula>30</formula>
    </cfRule>
  </conditionalFormatting>
  <conditionalFormatting sqref="M1034">
    <cfRule type="cellIs" dxfId="0" priority="99" operator="lessThan">
      <formula>30</formula>
    </cfRule>
  </conditionalFormatting>
  <conditionalFormatting sqref="M1035">
    <cfRule type="cellIs" dxfId="0" priority="98" operator="lessThan">
      <formula>30</formula>
    </cfRule>
  </conditionalFormatting>
  <conditionalFormatting sqref="M1036">
    <cfRule type="cellIs" dxfId="0" priority="97" operator="lessThan">
      <formula>30</formula>
    </cfRule>
  </conditionalFormatting>
  <conditionalFormatting sqref="M1037">
    <cfRule type="cellIs" dxfId="0" priority="96" operator="lessThan">
      <formula>30</formula>
    </cfRule>
  </conditionalFormatting>
  <conditionalFormatting sqref="M1038">
    <cfRule type="cellIs" dxfId="0" priority="95" operator="lessThan">
      <formula>30</formula>
    </cfRule>
  </conditionalFormatting>
  <conditionalFormatting sqref="M1039">
    <cfRule type="cellIs" dxfId="0" priority="94" operator="lessThan">
      <formula>30</formula>
    </cfRule>
  </conditionalFormatting>
  <conditionalFormatting sqref="M1040">
    <cfRule type="cellIs" dxfId="0" priority="93" operator="lessThan">
      <formula>30</formula>
    </cfRule>
  </conditionalFormatting>
  <conditionalFormatting sqref="M1041">
    <cfRule type="cellIs" dxfId="0" priority="92" operator="lessThan">
      <formula>30</formula>
    </cfRule>
  </conditionalFormatting>
  <conditionalFormatting sqref="M1042">
    <cfRule type="cellIs" dxfId="0" priority="91" operator="lessThan">
      <formula>30</formula>
    </cfRule>
  </conditionalFormatting>
  <conditionalFormatting sqref="M1043">
    <cfRule type="cellIs" dxfId="0" priority="90" operator="lessThan">
      <formula>30</formula>
    </cfRule>
  </conditionalFormatting>
  <conditionalFormatting sqref="M1044">
    <cfRule type="cellIs" dxfId="0" priority="89" operator="lessThan">
      <formula>30</formula>
    </cfRule>
  </conditionalFormatting>
  <conditionalFormatting sqref="M1045">
    <cfRule type="cellIs" dxfId="0" priority="88" operator="lessThan">
      <formula>30</formula>
    </cfRule>
  </conditionalFormatting>
  <conditionalFormatting sqref="M1046">
    <cfRule type="cellIs" dxfId="0" priority="87" operator="lessThan">
      <formula>30</formula>
    </cfRule>
  </conditionalFormatting>
  <conditionalFormatting sqref="M1047">
    <cfRule type="cellIs" dxfId="0" priority="86" operator="lessThan">
      <formula>30</formula>
    </cfRule>
  </conditionalFormatting>
  <conditionalFormatting sqref="M1048">
    <cfRule type="cellIs" dxfId="0" priority="85" operator="lessThan">
      <formula>30</formula>
    </cfRule>
  </conditionalFormatting>
  <conditionalFormatting sqref="M1049">
    <cfRule type="cellIs" dxfId="0" priority="84" operator="lessThan">
      <formula>30</formula>
    </cfRule>
  </conditionalFormatting>
  <conditionalFormatting sqref="M1050">
    <cfRule type="cellIs" dxfId="0" priority="83" operator="lessThan">
      <formula>30</formula>
    </cfRule>
  </conditionalFormatting>
  <conditionalFormatting sqref="M1051">
    <cfRule type="cellIs" dxfId="0" priority="82" operator="lessThan">
      <formula>30</formula>
    </cfRule>
  </conditionalFormatting>
  <conditionalFormatting sqref="M1052">
    <cfRule type="cellIs" dxfId="0" priority="81" operator="lessThan">
      <formula>30</formula>
    </cfRule>
  </conditionalFormatting>
  <conditionalFormatting sqref="M1053">
    <cfRule type="cellIs" dxfId="0" priority="80" operator="lessThan">
      <formula>30</formula>
    </cfRule>
  </conditionalFormatting>
  <conditionalFormatting sqref="M1054">
    <cfRule type="cellIs" dxfId="0" priority="79" operator="lessThan">
      <formula>30</formula>
    </cfRule>
  </conditionalFormatting>
  <conditionalFormatting sqref="M1055">
    <cfRule type="cellIs" dxfId="0" priority="78" operator="lessThan">
      <formula>30</formula>
    </cfRule>
  </conditionalFormatting>
  <conditionalFormatting sqref="M1056">
    <cfRule type="cellIs" dxfId="0" priority="77" operator="lessThan">
      <formula>30</formula>
    </cfRule>
  </conditionalFormatting>
  <conditionalFormatting sqref="M1057">
    <cfRule type="cellIs" dxfId="0" priority="76" operator="lessThan">
      <formula>30</formula>
    </cfRule>
  </conditionalFormatting>
  <conditionalFormatting sqref="M1058">
    <cfRule type="cellIs" dxfId="0" priority="75" operator="lessThan">
      <formula>30</formula>
    </cfRule>
  </conditionalFormatting>
  <conditionalFormatting sqref="M1059">
    <cfRule type="cellIs" dxfId="0" priority="74" operator="lessThan">
      <formula>30</formula>
    </cfRule>
  </conditionalFormatting>
  <conditionalFormatting sqref="M1060">
    <cfRule type="cellIs" dxfId="0" priority="73" operator="lessThan">
      <formula>30</formula>
    </cfRule>
  </conditionalFormatting>
  <conditionalFormatting sqref="M1061">
    <cfRule type="cellIs" dxfId="0" priority="72" operator="lessThan">
      <formula>30</formula>
    </cfRule>
  </conditionalFormatting>
  <conditionalFormatting sqref="M1062">
    <cfRule type="cellIs" dxfId="0" priority="71" operator="lessThan">
      <formula>30</formula>
    </cfRule>
  </conditionalFormatting>
  <conditionalFormatting sqref="M1063">
    <cfRule type="cellIs" dxfId="0" priority="70" operator="lessThan">
      <formula>30</formula>
    </cfRule>
  </conditionalFormatting>
  <conditionalFormatting sqref="M1064">
    <cfRule type="cellIs" dxfId="0" priority="69" operator="lessThan">
      <formula>30</formula>
    </cfRule>
  </conditionalFormatting>
  <conditionalFormatting sqref="M1065">
    <cfRule type="cellIs" dxfId="0" priority="68" operator="lessThan">
      <formula>30</formula>
    </cfRule>
  </conditionalFormatting>
  <conditionalFormatting sqref="M1066">
    <cfRule type="cellIs" dxfId="0" priority="67" operator="lessThan">
      <formula>30</formula>
    </cfRule>
  </conditionalFormatting>
  <conditionalFormatting sqref="M1067">
    <cfRule type="cellIs" dxfId="0" priority="66" operator="lessThan">
      <formula>30</formula>
    </cfRule>
  </conditionalFormatting>
  <conditionalFormatting sqref="M1068">
    <cfRule type="cellIs" dxfId="0" priority="65" operator="lessThan">
      <formula>30</formula>
    </cfRule>
  </conditionalFormatting>
  <conditionalFormatting sqref="M1069">
    <cfRule type="cellIs" dxfId="0" priority="64" operator="lessThan">
      <formula>30</formula>
    </cfRule>
  </conditionalFormatting>
  <conditionalFormatting sqref="M1070">
    <cfRule type="cellIs" dxfId="0" priority="63" operator="lessThan">
      <formula>30</formula>
    </cfRule>
  </conditionalFormatting>
  <conditionalFormatting sqref="M1071">
    <cfRule type="cellIs" dxfId="0" priority="62" operator="lessThan">
      <formula>30</formula>
    </cfRule>
  </conditionalFormatting>
  <conditionalFormatting sqref="M1072">
    <cfRule type="cellIs" dxfId="0" priority="61" operator="lessThan">
      <formula>30</formula>
    </cfRule>
  </conditionalFormatting>
  <conditionalFormatting sqref="M1073">
    <cfRule type="cellIs" dxfId="0" priority="60" operator="lessThan">
      <formula>30</formula>
    </cfRule>
  </conditionalFormatting>
  <conditionalFormatting sqref="M1074">
    <cfRule type="cellIs" dxfId="0" priority="59" operator="lessThan">
      <formula>30</formula>
    </cfRule>
  </conditionalFormatting>
  <conditionalFormatting sqref="M1075">
    <cfRule type="cellIs" dxfId="0" priority="58" operator="lessThan">
      <formula>30</formula>
    </cfRule>
  </conditionalFormatting>
  <conditionalFormatting sqref="M1076">
    <cfRule type="cellIs" dxfId="0" priority="57" operator="lessThan">
      <formula>30</formula>
    </cfRule>
  </conditionalFormatting>
  <conditionalFormatting sqref="M1077">
    <cfRule type="cellIs" dxfId="0" priority="56" operator="lessThan">
      <formula>30</formula>
    </cfRule>
  </conditionalFormatting>
  <conditionalFormatting sqref="M1078">
    <cfRule type="cellIs" dxfId="0" priority="55" operator="lessThan">
      <formula>30</formula>
    </cfRule>
  </conditionalFormatting>
  <conditionalFormatting sqref="M1079">
    <cfRule type="cellIs" dxfId="0" priority="54" operator="lessThan">
      <formula>30</formula>
    </cfRule>
  </conditionalFormatting>
  <conditionalFormatting sqref="M1080">
    <cfRule type="cellIs" dxfId="0" priority="53" operator="lessThan">
      <formula>30</formula>
    </cfRule>
  </conditionalFormatting>
  <conditionalFormatting sqref="M1081">
    <cfRule type="cellIs" dxfId="0" priority="52" operator="lessThan">
      <formula>30</formula>
    </cfRule>
  </conditionalFormatting>
  <conditionalFormatting sqref="M1082">
    <cfRule type="cellIs" dxfId="0" priority="51" operator="lessThan">
      <formula>30</formula>
    </cfRule>
  </conditionalFormatting>
  <conditionalFormatting sqref="M1083">
    <cfRule type="cellIs" dxfId="0" priority="50" operator="lessThan">
      <formula>30</formula>
    </cfRule>
  </conditionalFormatting>
  <conditionalFormatting sqref="M1084">
    <cfRule type="cellIs" dxfId="0" priority="49" operator="lessThan">
      <formula>30</formula>
    </cfRule>
  </conditionalFormatting>
  <conditionalFormatting sqref="M1085">
    <cfRule type="cellIs" dxfId="0" priority="48" operator="lessThan">
      <formula>30</formula>
    </cfRule>
  </conditionalFormatting>
  <conditionalFormatting sqref="M1086">
    <cfRule type="cellIs" dxfId="0" priority="47" operator="lessThan">
      <formula>30</formula>
    </cfRule>
  </conditionalFormatting>
  <conditionalFormatting sqref="M1087">
    <cfRule type="cellIs" dxfId="0" priority="46" operator="lessThan">
      <formula>30</formula>
    </cfRule>
  </conditionalFormatting>
  <conditionalFormatting sqref="M1088">
    <cfRule type="cellIs" dxfId="0" priority="45" operator="lessThan">
      <formula>30</formula>
    </cfRule>
  </conditionalFormatting>
  <conditionalFormatting sqref="M1089">
    <cfRule type="cellIs" dxfId="0" priority="44" operator="lessThan">
      <formula>30</formula>
    </cfRule>
  </conditionalFormatting>
  <conditionalFormatting sqref="M1090">
    <cfRule type="cellIs" dxfId="0" priority="43" operator="lessThan">
      <formula>30</formula>
    </cfRule>
  </conditionalFormatting>
  <conditionalFormatting sqref="M1091">
    <cfRule type="cellIs" dxfId="0" priority="42" operator="lessThan">
      <formula>30</formula>
    </cfRule>
  </conditionalFormatting>
  <conditionalFormatting sqref="M1092">
    <cfRule type="cellIs" dxfId="0" priority="41" operator="lessThan">
      <formula>30</formula>
    </cfRule>
  </conditionalFormatting>
  <conditionalFormatting sqref="M1093">
    <cfRule type="cellIs" dxfId="0" priority="40" operator="lessThan">
      <formula>30</formula>
    </cfRule>
  </conditionalFormatting>
  <conditionalFormatting sqref="M1094">
    <cfRule type="cellIs" dxfId="0" priority="39" operator="lessThan">
      <formula>30</formula>
    </cfRule>
  </conditionalFormatting>
  <conditionalFormatting sqref="M1095">
    <cfRule type="cellIs" dxfId="0" priority="38" operator="lessThan">
      <formula>30</formula>
    </cfRule>
  </conditionalFormatting>
  <conditionalFormatting sqref="M1096">
    <cfRule type="cellIs" dxfId="0" priority="37" operator="lessThan">
      <formula>30</formula>
    </cfRule>
  </conditionalFormatting>
  <conditionalFormatting sqref="M1097">
    <cfRule type="cellIs" dxfId="0" priority="36" operator="lessThan">
      <formula>30</formula>
    </cfRule>
  </conditionalFormatting>
  <conditionalFormatting sqref="M1098">
    <cfRule type="cellIs" dxfId="0" priority="35" operator="lessThan">
      <formula>30</formula>
    </cfRule>
  </conditionalFormatting>
  <conditionalFormatting sqref="M1099">
    <cfRule type="cellIs" dxfId="0" priority="34" operator="lessThan">
      <formula>30</formula>
    </cfRule>
  </conditionalFormatting>
  <conditionalFormatting sqref="M1100">
    <cfRule type="cellIs" dxfId="0" priority="33" operator="lessThan">
      <formula>30</formula>
    </cfRule>
  </conditionalFormatting>
  <conditionalFormatting sqref="M1101">
    <cfRule type="cellIs" dxfId="0" priority="32" operator="lessThan">
      <formula>30</formula>
    </cfRule>
  </conditionalFormatting>
  <conditionalFormatting sqref="M1102">
    <cfRule type="cellIs" dxfId="0" priority="31" operator="lessThan">
      <formula>30</formula>
    </cfRule>
  </conditionalFormatting>
  <conditionalFormatting sqref="M1103">
    <cfRule type="cellIs" dxfId="0" priority="30" operator="lessThan">
      <formula>30</formula>
    </cfRule>
  </conditionalFormatting>
  <conditionalFormatting sqref="M1104">
    <cfRule type="cellIs" dxfId="0" priority="29" operator="lessThan">
      <formula>30</formula>
    </cfRule>
  </conditionalFormatting>
  <conditionalFormatting sqref="M1105">
    <cfRule type="cellIs" dxfId="0" priority="28" operator="lessThan">
      <formula>30</formula>
    </cfRule>
  </conditionalFormatting>
  <conditionalFormatting sqref="M1106">
    <cfRule type="cellIs" dxfId="0" priority="27" operator="lessThan">
      <formula>30</formula>
    </cfRule>
  </conditionalFormatting>
  <conditionalFormatting sqref="M1107">
    <cfRule type="cellIs" dxfId="0" priority="26" operator="lessThan">
      <formula>30</formula>
    </cfRule>
  </conditionalFormatting>
  <conditionalFormatting sqref="M1108">
    <cfRule type="cellIs" dxfId="0" priority="25" operator="lessThan">
      <formula>30</formula>
    </cfRule>
  </conditionalFormatting>
  <conditionalFormatting sqref="M1109">
    <cfRule type="cellIs" dxfId="0" priority="24" operator="lessThan">
      <formula>30</formula>
    </cfRule>
  </conditionalFormatting>
  <conditionalFormatting sqref="M1110">
    <cfRule type="cellIs" dxfId="0" priority="23" operator="lessThan">
      <formula>30</formula>
    </cfRule>
  </conditionalFormatting>
  <conditionalFormatting sqref="M1111">
    <cfRule type="cellIs" dxfId="0" priority="22" operator="lessThan">
      <formula>30</formula>
    </cfRule>
  </conditionalFormatting>
  <conditionalFormatting sqref="M1112">
    <cfRule type="cellIs" dxfId="0" priority="21" operator="lessThan">
      <formula>30</formula>
    </cfRule>
  </conditionalFormatting>
  <conditionalFormatting sqref="M1113">
    <cfRule type="cellIs" dxfId="0" priority="20" operator="lessThan">
      <formula>30</formula>
    </cfRule>
  </conditionalFormatting>
  <conditionalFormatting sqref="M1114">
    <cfRule type="cellIs" dxfId="0" priority="19" operator="lessThan">
      <formula>30</formula>
    </cfRule>
  </conditionalFormatting>
  <conditionalFormatting sqref="M1115">
    <cfRule type="cellIs" dxfId="0" priority="18" operator="lessThan">
      <formula>30</formula>
    </cfRule>
  </conditionalFormatting>
  <conditionalFormatting sqref="M1116">
    <cfRule type="cellIs" dxfId="0" priority="17" operator="lessThan">
      <formula>30</formula>
    </cfRule>
  </conditionalFormatting>
  <conditionalFormatting sqref="M1117">
    <cfRule type="cellIs" dxfId="0" priority="16" operator="lessThan">
      <formula>30</formula>
    </cfRule>
  </conditionalFormatting>
  <conditionalFormatting sqref="M1118">
    <cfRule type="cellIs" dxfId="0" priority="15" operator="lessThan">
      <formula>30</formula>
    </cfRule>
  </conditionalFormatting>
  <conditionalFormatting sqref="M1119">
    <cfRule type="cellIs" dxfId="0" priority="14" operator="lessThan">
      <formula>30</formula>
    </cfRule>
  </conditionalFormatting>
  <conditionalFormatting sqref="M1120">
    <cfRule type="cellIs" dxfId="0" priority="13" operator="lessThan">
      <formula>30</formula>
    </cfRule>
  </conditionalFormatting>
  <conditionalFormatting sqref="M1121">
    <cfRule type="cellIs" dxfId="0" priority="12" operator="lessThan">
      <formula>30</formula>
    </cfRule>
  </conditionalFormatting>
  <conditionalFormatting sqref="M1122">
    <cfRule type="cellIs" dxfId="0" priority="11" operator="lessThan">
      <formula>30</formula>
    </cfRule>
  </conditionalFormatting>
  <conditionalFormatting sqref="M1123">
    <cfRule type="cellIs" dxfId="0" priority="10" operator="lessThan">
      <formula>30</formula>
    </cfRule>
  </conditionalFormatting>
  <conditionalFormatting sqref="M1124">
    <cfRule type="cellIs" dxfId="0" priority="9" operator="lessThan">
      <formula>30</formula>
    </cfRule>
  </conditionalFormatting>
  <conditionalFormatting sqref="M1125">
    <cfRule type="cellIs" dxfId="0" priority="8" operator="lessThan">
      <formula>30</formula>
    </cfRule>
  </conditionalFormatting>
  <conditionalFormatting sqref="M1126">
    <cfRule type="cellIs" dxfId="0" priority="7" operator="lessThan">
      <formula>30</formula>
    </cfRule>
  </conditionalFormatting>
  <conditionalFormatting sqref="M1127">
    <cfRule type="cellIs" dxfId="0" priority="6" operator="lessThan">
      <formula>30</formula>
    </cfRule>
  </conditionalFormatting>
  <conditionalFormatting sqref="M1128">
    <cfRule type="cellIs" dxfId="0" priority="5" operator="lessThan">
      <formula>30</formula>
    </cfRule>
  </conditionalFormatting>
  <conditionalFormatting sqref="M1129">
    <cfRule type="cellIs" dxfId="0" priority="4" operator="lessThan">
      <formula>30</formula>
    </cfRule>
  </conditionalFormatting>
  <conditionalFormatting sqref="M1130">
    <cfRule type="cellIs" dxfId="0" priority="3" operator="lessThan">
      <formula>30</formula>
    </cfRule>
  </conditionalFormatting>
  <conditionalFormatting sqref="M1131">
    <cfRule type="cellIs" dxfId="0" priority="2" operator="lessThan">
      <formula>30</formula>
    </cfRule>
  </conditionalFormatting>
  <conditionalFormatting sqref="M1132">
    <cfRule type="cellIs" dxfId="0" priority="1" operator="lessThan">
      <formula>30</formula>
    </cfRule>
  </conditionalFormatting>
  <conditionalFormatting sqref="M1575">
    <cfRule type="cellIs" dxfId="0" priority="1170" operator="lessThan">
      <formula>30</formula>
    </cfRule>
  </conditionalFormatting>
  <conditionalFormatting sqref="M927:M928">
    <cfRule type="cellIs" dxfId="0" priority="205" operator="lessThan">
      <formula>30</formula>
    </cfRule>
  </conditionalFormatting>
  <conditionalFormatting sqref="Z3:Z4">
    <cfRule type="cellIs" dxfId="0" priority="1153" operator="lessThan">
      <formula>30</formula>
    </cfRule>
  </conditionalFormatting>
  <conditionalFormatting sqref="Z5:Z8">
    <cfRule type="cellIs" dxfId="0" priority="1161" operator="lessThan">
      <formula>30</formula>
    </cfRule>
  </conditionalFormatting>
  <conditionalFormatting sqref="Z256:Z257">
    <cfRule type="cellIs" dxfId="0" priority="1178" operator="lessThan">
      <formula>30</formula>
    </cfRule>
  </conditionalFormatting>
  <conditionalFormatting sqref="Z1673:Z1989">
    <cfRule type="cellIs" dxfId="0" priority="1698" operator="lessThan">
      <formula>30</formula>
    </cfRule>
  </conditionalFormatting>
  <conditionalFormatting sqref="AM3:AM4">
    <cfRule type="cellIs" dxfId="0" priority="1152" operator="lessThan">
      <formula>30</formula>
    </cfRule>
  </conditionalFormatting>
  <conditionalFormatting sqref="AM5:AM8">
    <cfRule type="cellIs" dxfId="0" priority="1159" operator="lessThan">
      <formula>30</formula>
    </cfRule>
  </conditionalFormatting>
  <conditionalFormatting sqref="AM9:AM1989">
    <cfRule type="cellIs" dxfId="0" priority="1176" operator="lessThan">
      <formula>30</formula>
    </cfRule>
  </conditionalFormatting>
  <conditionalFormatting sqref="AZ3:AZ4">
    <cfRule type="cellIs" dxfId="0" priority="1151" operator="lessThan">
      <formula>30</formula>
    </cfRule>
  </conditionalFormatting>
  <conditionalFormatting sqref="AZ5:AZ8">
    <cfRule type="cellIs" dxfId="0" priority="1157" operator="lessThan">
      <formula>30</formula>
    </cfRule>
  </conditionalFormatting>
  <conditionalFormatting sqref="AZ9:AZ1989">
    <cfRule type="cellIs" dxfId="0" priority="1168" operator="lessThan">
      <formula>30</formula>
    </cfRule>
  </conditionalFormatting>
  <conditionalFormatting sqref="Z9:Z42 Z45:Z255 Z258:Z587 Z589:Z1672">
    <cfRule type="cellIs" dxfId="0" priority="1183" operator="lessThan">
      <formula>30</formula>
    </cfRule>
  </conditionalFormatting>
  <conditionalFormatting sqref="M1133:M1574 M1576:M1989">
    <cfRule type="cellIs" dxfId="0" priority="140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80" max="51" man="1"/>
  </rowBreaks>
  <colBreaks count="2" manualBreakCount="2">
    <brk id="22" max="1948" man="1"/>
    <brk id="25" max="194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2244</v>
      </c>
      <c r="B1" s="2"/>
      <c r="C1" s="3"/>
      <c r="D1" s="4" t="s">
        <v>2245</v>
      </c>
      <c r="E1" s="5"/>
      <c r="F1" s="6" t="s">
        <v>2246</v>
      </c>
      <c r="G1" s="6"/>
      <c r="H1" s="6"/>
      <c r="I1" s="35"/>
      <c r="J1" s="35"/>
      <c r="K1" s="35"/>
      <c r="L1" s="35"/>
      <c r="M1" s="3"/>
      <c r="N1" s="3"/>
      <c r="O1" s="36" t="s">
        <v>2247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2248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2249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2250</v>
      </c>
      <c r="D4" s="20"/>
      <c r="E4" s="21"/>
      <c r="F4" s="18" t="s">
        <v>2251</v>
      </c>
      <c r="G4" s="19" t="s">
        <v>2252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2253</v>
      </c>
      <c r="Q4" s="18" t="s">
        <v>2254</v>
      </c>
      <c r="R4" s="18" t="s">
        <v>10</v>
      </c>
      <c r="S4" s="18" t="s">
        <v>2255</v>
      </c>
    </row>
    <row r="5" spans="1:19">
      <c r="A5" s="22">
        <v>1</v>
      </c>
      <c r="B5" s="23" t="s">
        <v>27</v>
      </c>
      <c r="C5" s="24" t="s">
        <v>2256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2257</v>
      </c>
      <c r="Q5" s="52" t="s">
        <v>2258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2259</v>
      </c>
      <c r="C6" s="24" t="s">
        <v>2260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2261</v>
      </c>
      <c r="Q6" s="52" t="s">
        <v>2262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2263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2261</v>
      </c>
      <c r="Q7" s="52" t="s">
        <v>2264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2265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2261</v>
      </c>
      <c r="Q8" s="52" t="s">
        <v>2258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2261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2261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2261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2261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2261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2026-03-22T02:36:41Z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